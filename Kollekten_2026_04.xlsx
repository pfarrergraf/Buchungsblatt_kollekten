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comments/comment2.xml" ContentType="application/vnd.openxmlformats-officedocument.spreadsheetml.comments+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codeName="DieseArbeitsmappe"/>
  <bookViews>
    <workbookView visibility="visible" minimized="0" showHorizontalScroll="1" showVerticalScroll="1" showSheetTabs="1" xWindow="-120" yWindow="-120" windowWidth="29040" windowHeight="15720" tabRatio="889" firstSheet="3" activeTab="3" autoFilterDateGrouping="1"/>
  </bookViews>
  <sheets>
    <sheet name="Variable" sheetId="1" state="hidden" r:id="rId1"/>
    <sheet name="Dokumentation" sheetId="2" state="hidden" r:id="rId2"/>
    <sheet name="RT" sheetId="3" state="hidden" r:id="rId3"/>
    <sheet name="eigene Gemeinde" sheetId="4" state="visible" r:id="rId4"/>
  </sheets>
  <definedNames>
    <definedName name="_xlnm.Print_Titles" localSheetId="1">'Dokumentation'!$1:$1</definedName>
    <definedName name="_xlnm.Print_Area" localSheetId="1">'Dokumentation'!$A$1:$C$1</definedName>
    <definedName name="_xlnm.Print_Area" localSheetId="3">'eigene Gemeinde'!$A$1:$J$34</definedName>
  </definedNames>
  <calcPr calcId="162913" fullCalcOnLoad="1"/>
</workbook>
</file>

<file path=xl/styles.xml><?xml version="1.0" encoding="utf-8"?>
<styleSheet xmlns="http://schemas.openxmlformats.org/spreadsheetml/2006/main">
  <numFmts count="8">
    <numFmt numFmtId="164" formatCode="dd/mm/yy;@"/>
    <numFmt numFmtId="165" formatCode="_-* #,##0.00\ [$€-407]_-;\-* #,##0.00\ [$€-407]_-;_-* &quot;-&quot;??\ [$€-407]_-;_-@_-"/>
    <numFmt numFmtId="166" formatCode="#,##0.00\ &quot;€&quot;;[Red]\-#,##0.00\ &quot;€&quot;"/>
    <numFmt numFmtId="167" formatCode="0000"/>
    <numFmt numFmtId="168" formatCode="0#####"/>
    <numFmt numFmtId="169" formatCode="00"/>
    <numFmt numFmtId="170" formatCode="#,##0.00 €"/>
    <numFmt numFmtId="171" formatCode="DD.MM.YYYY"/>
  </numFmts>
  <fonts count="28">
    <font>
      <name val="Arial"/>
      <family val="2"/>
      <sz val="10"/>
    </font>
    <font>
      <name val="Calibri"/>
      <family val="2"/>
      <color theme="1"/>
      <sz val="11"/>
      <scheme val="minor"/>
    </font>
    <font>
      <name val="Calibri"/>
      <family val="2"/>
      <b val="1"/>
      <sz val="10"/>
      <scheme val="minor"/>
    </font>
    <font>
      <name val="Calibri"/>
      <family val="2"/>
      <b val="1"/>
      <sz val="9"/>
      <scheme val="minor"/>
    </font>
    <font>
      <name val="Calibri"/>
      <family val="2"/>
      <b val="1"/>
      <sz val="11"/>
      <scheme val="minor"/>
    </font>
    <font>
      <name val="Calibri"/>
      <family val="2"/>
      <b val="1"/>
      <sz val="9"/>
      <u val="single"/>
      <scheme val="minor"/>
    </font>
    <font>
      <name val="Calibri"/>
      <family val="2"/>
      <b val="1"/>
      <i val="1"/>
      <color theme="1" tint="0.249977111117893"/>
      <sz val="20"/>
      <scheme val="minor"/>
    </font>
    <font>
      <name val="Calibri"/>
      <family val="2"/>
      <b val="1"/>
      <i val="1"/>
      <color theme="1" tint="0.249977111117893"/>
      <sz val="14"/>
      <scheme val="minor"/>
    </font>
    <font>
      <name val="Calibri"/>
      <family val="2"/>
      <b val="1"/>
      <color theme="1" tint="0.249977111117893"/>
      <sz val="11"/>
      <scheme val="minor"/>
    </font>
    <font>
      <name val="Calibri"/>
      <family val="2"/>
      <sz val="10"/>
      <scheme val="minor"/>
    </font>
    <font>
      <name val="Calibri"/>
      <family val="2"/>
      <b val="1"/>
      <i val="1"/>
      <color theme="1" tint="0.249977111117893"/>
      <sz val="12"/>
      <scheme val="minor"/>
    </font>
    <font>
      <name val="Arial"/>
      <family val="2"/>
      <sz val="10"/>
    </font>
    <font>
      <name val="Calibri"/>
      <family val="2"/>
      <b val="1"/>
      <sz val="13"/>
      <scheme val="minor"/>
    </font>
    <font>
      <name val="Segoe UI"/>
      <family val="2"/>
      <b val="1"/>
      <color indexed="81"/>
      <sz val="9"/>
    </font>
    <font>
      <name val="Segoe UI"/>
      <family val="2"/>
      <color indexed="81"/>
      <sz val="9"/>
    </font>
    <font>
      <name val="Calibri"/>
      <family val="2"/>
      <color theme="1"/>
      <sz val="10"/>
      <scheme val="minor"/>
    </font>
    <font>
      <name val="Calibri"/>
      <family val="2"/>
      <b val="1"/>
      <sz val="22"/>
      <scheme val="minor"/>
    </font>
    <font>
      <name val="Calibri"/>
      <family val="2"/>
      <sz val="11"/>
      <scheme val="minor"/>
    </font>
    <font>
      <name val="Calibri"/>
      <family val="2"/>
      <sz val="14"/>
      <scheme val="minor"/>
    </font>
    <font>
      <name val="Calibri"/>
      <family val="2"/>
      <i val="1"/>
      <sz val="10"/>
      <scheme val="minor"/>
    </font>
    <font>
      <name val="Calibri"/>
      <family val="2"/>
      <b val="1"/>
      <i val="1"/>
      <color theme="1" tint="0.249977111117893"/>
      <sz val="15"/>
      <scheme val="minor"/>
    </font>
    <font>
      <name val="Calibri"/>
      <family val="2"/>
      <color rgb="FFFF0000"/>
      <sz val="10"/>
      <scheme val="minor"/>
    </font>
    <font>
      <name val="Calibri"/>
      <family val="2"/>
      <b val="1"/>
      <color rgb="FFFF0000"/>
      <sz val="10"/>
      <scheme val="minor"/>
    </font>
    <font>
      <name val="Arial"/>
      <family val="2"/>
      <b val="1"/>
      <sz val="10"/>
    </font>
    <font>
      <name val="Calibri"/>
      <family val="2"/>
      <b val="1"/>
      <color rgb="FFC00000"/>
      <sz val="11"/>
      <scheme val="minor"/>
    </font>
    <font>
      <name val="Calibri"/>
      <family val="2"/>
      <b val="1"/>
      <i val="1"/>
      <sz val="10"/>
      <scheme val="minor"/>
    </font>
    <font>
      <name val="Calibri"/>
      <family val="2"/>
      <b val="1"/>
      <sz val="11"/>
    </font>
    <font>
      <name val="Calibri"/>
      <family val="2"/>
      <b val="1"/>
      <color theme="1" tint="0.249977111117893"/>
      <sz val="14"/>
      <scheme val="minor"/>
    </font>
  </fonts>
  <fills count="5">
    <fill>
      <patternFill/>
    </fill>
    <fill>
      <patternFill patternType="gray125"/>
    </fill>
    <fill>
      <patternFill patternType="solid">
        <fgColor rgb="FFDEDEDE"/>
        <bgColor indexed="64"/>
      </patternFill>
    </fill>
    <fill>
      <patternFill patternType="solid">
        <fgColor rgb="FFFFFF00"/>
        <bgColor indexed="64"/>
      </patternFill>
    </fill>
    <fill>
      <patternFill patternType="solid">
        <fgColor theme="5" tint="0.3999755851924192"/>
        <bgColor indexed="64"/>
      </patternFill>
    </fill>
  </fills>
  <borders count="12">
    <border>
      <left/>
      <right/>
      <top/>
      <bottom/>
      <diagonal/>
    </border>
    <border>
      <left/>
      <right/>
      <top/>
      <bottom style="hair">
        <color theme="0" tint="-0.249946592608417"/>
      </bottom>
      <diagonal/>
    </border>
    <border>
      <left/>
      <right/>
      <top style="hair">
        <color theme="0" tint="-0.249946592608417"/>
      </top>
      <bottom style="hair">
        <color theme="0" tint="-0.249946592608417"/>
      </bottom>
      <diagonal/>
    </border>
    <border>
      <left style="hair">
        <color theme="0" tint="-0.249946592608417"/>
      </left>
      <right style="hair">
        <color theme="0" tint="-0.249946592608417"/>
      </right>
      <top/>
      <bottom style="hair">
        <color theme="0" tint="-0.249946592608417"/>
      </bottom>
      <diagonal/>
    </border>
    <border>
      <left/>
      <right style="hair">
        <color theme="0" tint="-0.249946592608417"/>
      </right>
      <top/>
      <bottom style="hair">
        <color theme="0" tint="-0.249946592608417"/>
      </bottom>
      <diagonal/>
    </border>
    <border>
      <left style="hair">
        <color theme="0" tint="-0.249946592608417"/>
      </left>
      <right/>
      <top/>
      <bottom style="hair">
        <color theme="0" tint="-0.249946592608417"/>
      </bottom>
      <diagonal/>
    </border>
    <border>
      <left/>
      <right style="hair">
        <color theme="0" tint="-0.249946592608417"/>
      </right>
      <top style="hair">
        <color theme="0" tint="-0.249946592608417"/>
      </top>
      <bottom style="hair">
        <color theme="0" tint="-0.249946592608417"/>
      </bottom>
      <diagonal/>
    </border>
    <border>
      <left style="hair">
        <color theme="0" tint="-0.249946592608417"/>
      </left>
      <right/>
      <top style="hair">
        <color theme="0" tint="-0.249946592608417"/>
      </top>
      <bottom style="hair">
        <color theme="0" tint="-0.249946592608417"/>
      </bottom>
      <diagonal/>
    </border>
    <border>
      <left/>
      <right/>
      <top style="hair">
        <color theme="0" tint="-0.249946592608417"/>
      </top>
      <bottom/>
      <diagonal/>
    </border>
    <border>
      <left style="hair">
        <color theme="0" tint="-0.249946592608417"/>
      </left>
      <right style="hair">
        <color theme="0" tint="-0.249946592608417"/>
      </right>
      <top style="hair">
        <color theme="0" tint="-0.249946592608417"/>
      </top>
      <bottom style="hair">
        <color theme="0" tint="-0.249946592608417"/>
      </bottom>
      <diagonal/>
    </border>
    <border>
      <left/>
      <right style="hair">
        <color theme="0" tint="-0.249946592608417"/>
      </right>
      <top style="hair">
        <color theme="0" tint="-0.249946592608417"/>
      </top>
      <bottom/>
      <diagonal/>
    </border>
    <border>
      <left/>
      <right style="hair">
        <color theme="0" tint="-0.249946592608417"/>
      </right>
      <top/>
      <bottom/>
      <diagonal/>
    </border>
  </borders>
  <cellStyleXfs count="3">
    <xf numFmtId="0" fontId="11" fillId="0" borderId="0"/>
    <xf numFmtId="0" fontId="1" fillId="0" borderId="0"/>
    <xf numFmtId="0" fontId="11" fillId="0" borderId="0"/>
  </cellStyleXfs>
  <cellXfs count="154">
    <xf numFmtId="0" fontId="0" fillId="0" borderId="0" pivotButton="0" quotePrefix="0" xfId="0"/>
    <xf numFmtId="0" fontId="9" fillId="0" borderId="0" pivotButton="0" quotePrefix="0" xfId="0"/>
    <xf numFmtId="0" fontId="9" fillId="0" borderId="0" applyAlignment="1" pivotButton="0" quotePrefix="0" xfId="0">
      <alignment horizontal="center"/>
    </xf>
    <xf numFmtId="49" fontId="2" fillId="2" borderId="0" applyAlignment="1" pivotButton="0" quotePrefix="0" xfId="2">
      <alignment horizontal="center" vertical="center"/>
    </xf>
    <xf numFmtId="164" fontId="2" fillId="2" borderId="0" applyAlignment="1" pivotButton="0" quotePrefix="0" xfId="2">
      <alignment horizontal="center" vertical="center"/>
    </xf>
    <xf numFmtId="0" fontId="2" fillId="2" borderId="0" applyAlignment="1" pivotButton="0" quotePrefix="0" xfId="2">
      <alignment vertical="center"/>
    </xf>
    <xf numFmtId="0" fontId="2" fillId="0" borderId="0" applyAlignment="1" pivotButton="0" quotePrefix="0" xfId="2">
      <alignment vertical="center"/>
    </xf>
    <xf numFmtId="0" fontId="9" fillId="0" borderId="0" applyAlignment="1" pivotButton="0" quotePrefix="0" xfId="2">
      <alignment vertical="top" wrapText="1"/>
    </xf>
    <xf numFmtId="0" fontId="9" fillId="0" borderId="0" applyAlignment="1" pivotButton="0" quotePrefix="0" xfId="2">
      <alignment vertical="top"/>
    </xf>
    <xf numFmtId="49" fontId="9" fillId="0" borderId="0" applyAlignment="1" pivotButton="0" quotePrefix="0" xfId="2">
      <alignment horizontal="center"/>
    </xf>
    <xf numFmtId="164" fontId="9" fillId="0" borderId="0" applyAlignment="1" pivotButton="0" quotePrefix="0" xfId="2">
      <alignment horizontal="center"/>
    </xf>
    <xf numFmtId="0" fontId="9" fillId="0" borderId="0" pivotButton="0" quotePrefix="0" xfId="2"/>
    <xf numFmtId="0" fontId="2" fillId="0" borderId="0" applyAlignment="1" pivotButton="0" quotePrefix="0" xfId="0">
      <alignment horizontal="center" vertical="center"/>
    </xf>
    <xf numFmtId="0" fontId="2" fillId="0" borderId="0" applyAlignment="1" pivotButton="0" quotePrefix="0" xfId="0">
      <alignment vertical="center"/>
    </xf>
    <xf numFmtId="0" fontId="2" fillId="0" borderId="0" applyAlignment="1" pivotButton="0" quotePrefix="0" xfId="0">
      <alignment horizontal="left" vertical="center"/>
    </xf>
    <xf numFmtId="0" fontId="2" fillId="3" borderId="0" applyAlignment="1" pivotButton="0" quotePrefix="0" xfId="0">
      <alignment horizontal="center" vertical="center"/>
    </xf>
    <xf numFmtId="0" fontId="2" fillId="3" borderId="0" applyAlignment="1" pivotButton="0" quotePrefix="0" xfId="0">
      <alignment horizontal="left" vertical="center"/>
    </xf>
    <xf numFmtId="0" fontId="2" fillId="3" borderId="0" applyAlignment="1" pivotButton="0" quotePrefix="0" xfId="0">
      <alignment horizontal="right" vertical="center"/>
    </xf>
    <xf numFmtId="0" fontId="15" fillId="0" borderId="0" applyAlignment="1" pivotButton="0" quotePrefix="0" xfId="0">
      <alignment wrapText="1"/>
    </xf>
    <xf numFmtId="0" fontId="15" fillId="0" borderId="0" applyAlignment="1" pivotButton="0" quotePrefix="0" xfId="0">
      <alignment vertical="top" wrapText="1"/>
    </xf>
    <xf numFmtId="0" fontId="16" fillId="0" borderId="0" applyAlignment="1" applyProtection="1" pivotButton="0" quotePrefix="0" xfId="0">
      <alignment vertical="center"/>
      <protection locked="1" hidden="1"/>
    </xf>
    <xf numFmtId="165" fontId="4" fillId="0" borderId="6" applyAlignment="1" applyProtection="1" pivotButton="0" quotePrefix="0" xfId="0">
      <alignment vertical="center"/>
      <protection locked="0" hidden="0"/>
    </xf>
    <xf numFmtId="166" fontId="4" fillId="0" borderId="0" applyAlignment="1" applyProtection="1" pivotButton="0" quotePrefix="0" xfId="1">
      <alignment horizontal="right" vertical="center"/>
      <protection locked="1" hidden="1"/>
    </xf>
    <xf numFmtId="49" fontId="4" fillId="0" borderId="8" applyAlignment="1" applyProtection="1" pivotButton="0" quotePrefix="0" xfId="0">
      <alignment horizontal="center" vertical="center"/>
      <protection locked="1" hidden="1"/>
    </xf>
    <xf numFmtId="49" fontId="4" fillId="0" borderId="8" applyAlignment="1" applyProtection="1" pivotButton="0" quotePrefix="0" xfId="0">
      <alignment horizontal="left" vertical="center" indent="1"/>
      <protection locked="1" hidden="1"/>
    </xf>
    <xf numFmtId="0" fontId="9" fillId="0" borderId="0" applyProtection="1" pivotButton="0" quotePrefix="0" xfId="0">
      <protection locked="1" hidden="1"/>
    </xf>
    <xf numFmtId="0" fontId="9" fillId="0" borderId="0" applyAlignment="1" applyProtection="1" pivotButton="0" quotePrefix="0" xfId="0">
      <alignment vertical="center"/>
      <protection locked="1" hidden="1"/>
    </xf>
    <xf numFmtId="0" fontId="6" fillId="0" borderId="0" applyAlignment="1" applyProtection="1" pivotButton="0" quotePrefix="0" xfId="0">
      <alignment vertical="center"/>
      <protection locked="1" hidden="1"/>
    </xf>
    <xf numFmtId="0" fontId="2" fillId="0" borderId="0" applyProtection="1" pivotButton="0" quotePrefix="0" xfId="0">
      <protection locked="1" hidden="1"/>
    </xf>
    <xf numFmtId="0" fontId="7" fillId="0" borderId="0" applyAlignment="1" applyProtection="1" pivotButton="0" quotePrefix="0" xfId="0">
      <alignment horizontal="right" vertical="center" indent="1"/>
      <protection locked="1" hidden="1"/>
    </xf>
    <xf numFmtId="0" fontId="3" fillId="0" borderId="0" applyAlignment="1" applyProtection="1" pivotButton="0" quotePrefix="0" xfId="0">
      <alignment vertical="center"/>
      <protection locked="1" hidden="1"/>
    </xf>
    <xf numFmtId="0" fontId="2" fillId="0" borderId="0" applyAlignment="1" applyProtection="1" pivotButton="0" quotePrefix="0" xfId="0">
      <alignment vertical="center"/>
      <protection locked="1" hidden="1"/>
    </xf>
    <xf numFmtId="0" fontId="8" fillId="0" borderId="0" applyAlignment="1" applyProtection="1" pivotButton="0" quotePrefix="0" xfId="0">
      <alignment horizontal="right" vertical="center" wrapText="1" indent="1"/>
      <protection locked="1" hidden="1"/>
    </xf>
    <xf numFmtId="0" fontId="8" fillId="0" borderId="0" applyAlignment="1" applyProtection="1" pivotButton="0" quotePrefix="0" xfId="0">
      <alignment vertical="center"/>
      <protection locked="1" hidden="1"/>
    </xf>
    <xf numFmtId="0" fontId="8" fillId="0" borderId="0" applyAlignment="1" applyProtection="1" pivotButton="0" quotePrefix="0" xfId="0">
      <alignment horizontal="right" vertical="center" indent="1"/>
      <protection locked="1" hidden="1"/>
    </xf>
    <xf numFmtId="4" fontId="8" fillId="0" borderId="0" applyAlignment="1" applyProtection="1" pivotButton="0" quotePrefix="0" xfId="0">
      <alignment horizontal="right" indent="1"/>
      <protection locked="1" hidden="1"/>
    </xf>
    <xf numFmtId="49" fontId="4" fillId="0" borderId="0" applyAlignment="1" applyProtection="1" pivotButton="0" quotePrefix="0" xfId="0">
      <alignment horizontal="center" vertical="center"/>
      <protection locked="1" hidden="1"/>
    </xf>
    <xf numFmtId="0" fontId="2" fillId="0" borderId="0" applyAlignment="1" applyProtection="1" pivotButton="0" quotePrefix="0" xfId="0">
      <alignment horizontal="center"/>
      <protection locked="1" hidden="1"/>
    </xf>
    <xf numFmtId="4" fontId="8" fillId="0" borderId="0" applyAlignment="1" applyProtection="1" pivotButton="0" quotePrefix="0" xfId="0">
      <alignment vertical="center"/>
      <protection locked="1" hidden="1"/>
    </xf>
    <xf numFmtId="0" fontId="8" fillId="0" borderId="3" applyAlignment="1" applyProtection="1" pivotButton="0" quotePrefix="0" xfId="0">
      <alignment vertical="center"/>
      <protection locked="1" hidden="1"/>
    </xf>
    <xf numFmtId="49" fontId="8" fillId="0" borderId="3" applyAlignment="1" applyProtection="1" pivotButton="0" quotePrefix="0" xfId="0">
      <alignment vertical="center"/>
      <protection locked="1" hidden="1"/>
    </xf>
    <xf numFmtId="0" fontId="8" fillId="0" borderId="0" applyAlignment="1" applyProtection="1" pivotButton="0" quotePrefix="0" xfId="0">
      <alignment horizontal="left" vertical="center" wrapText="1"/>
      <protection locked="1" hidden="1"/>
    </xf>
    <xf numFmtId="0" fontId="7" fillId="0" borderId="0" applyAlignment="1" applyProtection="1" pivotButton="0" quotePrefix="0" xfId="0">
      <alignment vertical="center"/>
      <protection locked="1" hidden="1"/>
    </xf>
    <xf numFmtId="0" fontId="5" fillId="0" borderId="0" applyProtection="1" pivotButton="0" quotePrefix="0" xfId="0">
      <protection locked="1" hidden="1"/>
    </xf>
    <xf numFmtId="0" fontId="8" fillId="0" borderId="4" applyAlignment="1" applyProtection="1" pivotButton="0" quotePrefix="0" xfId="0">
      <alignment horizontal="center" vertical="center"/>
      <protection locked="1" hidden="1"/>
    </xf>
    <xf numFmtId="0" fontId="4" fillId="0" borderId="0" applyAlignment="1" applyProtection="1" pivotButton="0" quotePrefix="0" xfId="0">
      <alignment vertical="center"/>
      <protection locked="1" hidden="1"/>
    </xf>
    <xf numFmtId="0" fontId="2" fillId="0" borderId="0" applyAlignment="1" applyProtection="1" pivotButton="0" quotePrefix="0" xfId="0">
      <alignment horizontal="center" vertical="center"/>
      <protection locked="1" hidden="1"/>
    </xf>
    <xf numFmtId="0" fontId="2" fillId="0" borderId="1" applyProtection="1" pivotButton="0" quotePrefix="0" xfId="0">
      <protection locked="1" hidden="1"/>
    </xf>
    <xf numFmtId="0" fontId="3" fillId="0" borderId="0" applyAlignment="1" applyProtection="1" pivotButton="0" quotePrefix="1" xfId="0">
      <alignment horizontal="center"/>
      <protection locked="1" hidden="1"/>
    </xf>
    <xf numFmtId="164" fontId="9" fillId="0" borderId="0" applyAlignment="1" pivotButton="0" quotePrefix="0" xfId="2">
      <alignment horizontal="center" vertical="top"/>
    </xf>
    <xf numFmtId="49" fontId="9" fillId="0" borderId="0" applyAlignment="1" pivotButton="0" quotePrefix="0" xfId="2">
      <alignment horizontal="center" vertical="top"/>
    </xf>
    <xf numFmtId="49" fontId="9" fillId="0" borderId="0" applyAlignment="1" pivotButton="0" quotePrefix="0" xfId="1">
      <alignment horizontal="center" vertical="top"/>
    </xf>
    <xf numFmtId="164" fontId="9" fillId="0" borderId="0" applyAlignment="1" pivotButton="0" quotePrefix="0" xfId="1">
      <alignment horizontal="center" vertical="top"/>
    </xf>
    <xf numFmtId="0" fontId="9" fillId="0" borderId="0" applyAlignment="1" pivotButton="0" quotePrefix="0" xfId="1">
      <alignment vertical="top" wrapText="1"/>
    </xf>
    <xf numFmtId="0" fontId="9" fillId="0" borderId="0" applyAlignment="1" pivotButton="0" quotePrefix="0" xfId="1">
      <alignment vertical="top"/>
    </xf>
    <xf numFmtId="0" fontId="21" fillId="0" borderId="0" applyAlignment="1" pivotButton="0" quotePrefix="0" xfId="0">
      <alignment wrapText="1"/>
    </xf>
    <xf numFmtId="0" fontId="15" fillId="0" borderId="0" pivotButton="0" quotePrefix="0" xfId="0"/>
    <xf numFmtId="0" fontId="4" fillId="0" borderId="0" applyAlignment="1" applyProtection="1" pivotButton="0" quotePrefix="0" xfId="1">
      <alignment horizontal="center" vertical="center"/>
      <protection locked="1" hidden="1"/>
    </xf>
    <xf numFmtId="49" fontId="4" fillId="0" borderId="0" applyAlignment="1" applyProtection="1" pivotButton="0" quotePrefix="0" xfId="0">
      <alignment horizontal="left" vertical="center" indent="1"/>
      <protection locked="1" hidden="1"/>
    </xf>
    <xf numFmtId="0" fontId="2" fillId="0" borderId="0" applyAlignment="1" pivotButton="0" quotePrefix="0" xfId="0">
      <alignment horizontal="left" vertical="center" indent="1"/>
    </xf>
    <xf numFmtId="0" fontId="17" fillId="0" borderId="0" applyAlignment="1" applyProtection="1" pivotButton="0" quotePrefix="0" xfId="0">
      <alignment vertical="center"/>
      <protection locked="1" hidden="1"/>
    </xf>
    <xf numFmtId="15" fontId="9" fillId="0" borderId="0" applyAlignment="1" pivotButton="0" quotePrefix="1" xfId="2">
      <alignment vertical="top" wrapText="1"/>
    </xf>
    <xf numFmtId="0" fontId="9" fillId="0" borderId="0" applyAlignment="1" pivotButton="0" quotePrefix="1" xfId="2">
      <alignment vertical="top" wrapText="1"/>
    </xf>
    <xf numFmtId="0" fontId="9" fillId="0" borderId="0" applyAlignment="1" pivotButton="0" quotePrefix="0" xfId="0">
      <alignment horizontal="left"/>
    </xf>
    <xf numFmtId="0" fontId="22" fillId="0" borderId="0" applyAlignment="1" pivotButton="0" quotePrefix="0" xfId="0">
      <alignment horizontal="left" indent="1"/>
    </xf>
    <xf numFmtId="0" fontId="21" fillId="0" borderId="0" pivotButton="0" quotePrefix="0" xfId="0"/>
    <xf numFmtId="0" fontId="9" fillId="0" borderId="0" applyAlignment="1" pivotButton="0" quotePrefix="0" xfId="2">
      <alignment wrapText="1"/>
    </xf>
    <xf numFmtId="0" fontId="8" fillId="0" borderId="1" applyAlignment="1" applyProtection="1" pivotButton="0" quotePrefix="0" xfId="0">
      <alignment horizontal="left" vertical="center"/>
      <protection locked="1" hidden="1"/>
    </xf>
    <xf numFmtId="0" fontId="2" fillId="0" borderId="0" applyAlignment="1" pivotButton="0" quotePrefix="0" xfId="0">
      <alignment horizontal="center" vertical="center" wrapText="1"/>
    </xf>
    <xf numFmtId="0" fontId="2" fillId="0" borderId="0" applyAlignment="1" pivotButton="0" quotePrefix="0" xfId="0">
      <alignment horizontal="left" vertical="center" wrapText="1"/>
    </xf>
    <xf numFmtId="167" fontId="9" fillId="0" borderId="0" applyAlignment="1" pivotButton="0" quotePrefix="0" xfId="0">
      <alignment horizontal="center"/>
    </xf>
    <xf numFmtId="0" fontId="9" fillId="0" borderId="0" applyAlignment="1" pivotButton="0" quotePrefix="0" xfId="0">
      <alignment horizontal="left" indent="1"/>
    </xf>
    <xf numFmtId="0" fontId="15" fillId="0" borderId="0" applyAlignment="1" pivotButton="0" quotePrefix="0" xfId="0">
      <alignment vertical="center"/>
    </xf>
    <xf numFmtId="167" fontId="9" fillId="0" borderId="0" applyAlignment="1" pivotButton="0" quotePrefix="0" xfId="0">
      <alignment horizontal="left" indent="1"/>
    </xf>
    <xf numFmtId="167" fontId="9" fillId="0" borderId="0" applyAlignment="1" pivotButton="0" quotePrefix="0" xfId="0">
      <alignment vertical="center"/>
    </xf>
    <xf numFmtId="0" fontId="8" fillId="0" borderId="0" applyAlignment="1" applyProtection="1" pivotButton="0" quotePrefix="0" xfId="0">
      <alignment horizontal="left" vertical="center" indent="2"/>
      <protection locked="1" hidden="1"/>
    </xf>
    <xf numFmtId="0" fontId="8" fillId="0" borderId="1" applyAlignment="1" applyProtection="1" pivotButton="0" quotePrefix="0" xfId="0">
      <alignment horizontal="left" vertical="center" indent="1"/>
      <protection locked="0" hidden="0"/>
    </xf>
    <xf numFmtId="0" fontId="23" fillId="0" borderId="0" pivotButton="0" quotePrefix="0" xfId="0"/>
    <xf numFmtId="0" fontId="8" fillId="0" borderId="0" applyAlignment="1" applyProtection="1" pivotButton="0" quotePrefix="0" xfId="0">
      <alignment horizontal="left" indent="2"/>
      <protection locked="1" hidden="1"/>
    </xf>
    <xf numFmtId="0" fontId="22" fillId="0" borderId="0" applyAlignment="1" pivotButton="0" quotePrefix="0" xfId="0">
      <alignment wrapText="1"/>
    </xf>
    <xf numFmtId="167" fontId="2" fillId="0" borderId="0" applyAlignment="1" pivotButton="0" quotePrefix="0" xfId="0">
      <alignment horizontal="center" vertical="center"/>
    </xf>
    <xf numFmtId="168" fontId="9" fillId="0" borderId="0" applyAlignment="1" pivotButton="0" quotePrefix="0" xfId="0">
      <alignment horizontal="center"/>
    </xf>
    <xf numFmtId="0" fontId="2" fillId="0" borderId="0" applyAlignment="1" pivotButton="0" quotePrefix="0" xfId="0">
      <alignment horizontal="center"/>
    </xf>
    <xf numFmtId="0" fontId="8" fillId="0" borderId="0" applyAlignment="1" applyProtection="1" pivotButton="0" quotePrefix="0" xfId="0">
      <alignment horizontal="left" vertical="center"/>
      <protection locked="1" hidden="1"/>
    </xf>
    <xf numFmtId="49" fontId="8" fillId="0" borderId="0" applyAlignment="1" applyProtection="1" pivotButton="0" quotePrefix="0" xfId="0">
      <alignment vertical="center"/>
      <protection locked="1" hidden="1"/>
    </xf>
    <xf numFmtId="169" fontId="8" fillId="0" borderId="0" applyAlignment="1" applyProtection="1" pivotButton="0" quotePrefix="0" xfId="0">
      <alignment horizontal="center"/>
      <protection locked="1" hidden="1"/>
    </xf>
    <xf numFmtId="166" fontId="4" fillId="0" borderId="0" applyAlignment="1" applyProtection="1" pivotButton="0" quotePrefix="0" xfId="1">
      <alignment horizontal="right"/>
      <protection locked="1" hidden="1"/>
    </xf>
    <xf numFmtId="0" fontId="8" fillId="0" borderId="1" applyAlignment="1" applyProtection="1" pivotButton="0" quotePrefix="0" xfId="0">
      <alignment horizontal="left" vertical="center" indent="1"/>
      <protection locked="1" hidden="1"/>
    </xf>
    <xf numFmtId="167" fontId="2" fillId="0" borderId="0" applyAlignment="1" pivotButton="0" quotePrefix="0" xfId="0">
      <alignment horizontal="center"/>
    </xf>
    <xf numFmtId="168" fontId="2" fillId="0" borderId="0" applyAlignment="1" pivotButton="0" quotePrefix="0" xfId="0">
      <alignment horizontal="center"/>
    </xf>
    <xf numFmtId="0" fontId="2" fillId="0" borderId="0" pivotButton="0" quotePrefix="0" xfId="2"/>
    <xf numFmtId="0" fontId="25" fillId="0" borderId="0" pivotButton="0" quotePrefix="0" xfId="2"/>
    <xf numFmtId="0" fontId="4" fillId="0" borderId="0" applyAlignment="1" pivotButton="0" quotePrefix="0" xfId="0">
      <alignment vertical="center"/>
    </xf>
    <xf numFmtId="0" fontId="17" fillId="0" borderId="0" pivotButton="0" quotePrefix="0" xfId="0"/>
    <xf numFmtId="0" fontId="26" fillId="0" borderId="0" applyAlignment="1" applyProtection="1" pivotButton="0" quotePrefix="0" xfId="0">
      <alignment horizontal="left" vertical="center"/>
      <protection locked="1" hidden="1"/>
    </xf>
    <xf numFmtId="49" fontId="8" fillId="0" borderId="0" applyAlignment="1" applyProtection="1" pivotButton="0" quotePrefix="0" xfId="0">
      <alignment horizontal="center"/>
      <protection locked="0" hidden="0"/>
    </xf>
    <xf numFmtId="49" fontId="4" fillId="0" borderId="7" applyAlignment="1" applyProtection="1" pivotButton="0" quotePrefix="0" xfId="0">
      <alignment horizontal="center" vertical="center"/>
      <protection locked="0" hidden="0"/>
    </xf>
    <xf numFmtId="49" fontId="4" fillId="0" borderId="2" applyAlignment="1" applyProtection="1" pivotButton="0" quotePrefix="0" xfId="0">
      <alignment horizontal="center" vertical="center"/>
      <protection locked="0" hidden="0"/>
    </xf>
    <xf numFmtId="1" fontId="4" fillId="0" borderId="7" applyAlignment="1" applyProtection="1" pivotButton="0" quotePrefix="0" xfId="0">
      <alignment horizontal="center" vertical="center"/>
      <protection locked="0" hidden="0"/>
    </xf>
    <xf numFmtId="1" fontId="4" fillId="0" borderId="6" applyAlignment="1" applyProtection="1" pivotButton="0" quotePrefix="0" xfId="0">
      <alignment horizontal="center" vertical="center"/>
      <protection locked="0" hidden="0"/>
    </xf>
    <xf numFmtId="0" fontId="17" fillId="0" borderId="0" applyAlignment="1" applyProtection="1" pivotButton="0" quotePrefix="0" xfId="0">
      <alignment horizontal="left" vertical="center" wrapText="1" indent="1"/>
      <protection locked="1" hidden="1"/>
    </xf>
    <xf numFmtId="164" fontId="17" fillId="0" borderId="2" applyAlignment="1" applyProtection="1" pivotButton="0" quotePrefix="0" xfId="0">
      <alignment horizontal="left" vertical="center" indent="1"/>
      <protection locked="0" hidden="0"/>
    </xf>
    <xf numFmtId="0" fontId="2" fillId="0" borderId="0" applyAlignment="1" applyProtection="1" pivotButton="0" quotePrefix="0" xfId="0">
      <alignment horizontal="center"/>
      <protection locked="1" hidden="1"/>
    </xf>
    <xf numFmtId="0" fontId="3" fillId="0" borderId="1" applyAlignment="1" applyProtection="1" pivotButton="0" quotePrefix="0" xfId="0">
      <alignment horizontal="center"/>
      <protection locked="1" hidden="1"/>
    </xf>
    <xf numFmtId="0" fontId="2" fillId="0" borderId="0" applyAlignment="1" applyProtection="1" pivotButton="0" quotePrefix="1" xfId="0">
      <alignment horizontal="center"/>
      <protection locked="1" hidden="1"/>
    </xf>
    <xf numFmtId="164" fontId="17" fillId="0" borderId="7" applyAlignment="1" applyProtection="1" pivotButton="0" quotePrefix="0" xfId="0">
      <alignment horizontal="center" vertical="center"/>
      <protection locked="0" hidden="0"/>
    </xf>
    <xf numFmtId="164" fontId="17" fillId="0" borderId="6" applyAlignment="1" applyProtection="1" pivotButton="0" quotePrefix="0" xfId="0">
      <alignment horizontal="center" vertical="center"/>
      <protection locked="0" hidden="0"/>
    </xf>
    <xf numFmtId="166" fontId="4" fillId="0" borderId="8" applyAlignment="1" applyProtection="1" pivotButton="0" quotePrefix="0" xfId="1">
      <alignment horizontal="left"/>
      <protection locked="1" hidden="1"/>
    </xf>
    <xf numFmtId="0" fontId="27" fillId="0" borderId="0" applyAlignment="1" applyProtection="1" pivotButton="0" quotePrefix="0" xfId="0">
      <alignment horizontal="left"/>
      <protection locked="0" hidden="0"/>
    </xf>
    <xf numFmtId="0" fontId="8" fillId="0" borderId="5" applyAlignment="1" applyProtection="1" pivotButton="0" quotePrefix="0" xfId="0">
      <alignment horizontal="center" vertical="center" wrapText="1"/>
      <protection locked="1" hidden="1"/>
    </xf>
    <xf numFmtId="0" fontId="8" fillId="0" borderId="4" applyAlignment="1" applyProtection="1" pivotButton="0" quotePrefix="0" xfId="0">
      <alignment horizontal="center" vertical="center" wrapText="1"/>
      <protection locked="1" hidden="1"/>
    </xf>
    <xf numFmtId="0" fontId="8" fillId="0" borderId="5" applyAlignment="1" applyProtection="1" pivotButton="0" quotePrefix="0" xfId="0">
      <alignment horizontal="left" vertical="center" wrapText="1" indent="1"/>
      <protection locked="1" hidden="1"/>
    </xf>
    <xf numFmtId="0" fontId="8" fillId="0" borderId="1" applyAlignment="1" applyProtection="1" pivotButton="0" quotePrefix="0" xfId="0">
      <alignment horizontal="left" vertical="center" wrapText="1" indent="1"/>
      <protection locked="1" hidden="1"/>
    </xf>
    <xf numFmtId="0" fontId="24" fillId="0" borderId="0" applyAlignment="1" applyProtection="1" pivotButton="0" quotePrefix="1" xfId="0">
      <alignment horizontal="center" vertical="center"/>
      <protection locked="1" hidden="1"/>
    </xf>
    <xf numFmtId="0" fontId="24" fillId="0" borderId="0" applyAlignment="1" applyProtection="1" pivotButton="0" quotePrefix="0" xfId="0">
      <alignment horizontal="center" vertical="center"/>
      <protection locked="1" hidden="1"/>
    </xf>
    <xf numFmtId="0" fontId="8" fillId="0" borderId="5" applyAlignment="1" applyProtection="1" pivotButton="0" quotePrefix="0" xfId="0">
      <alignment horizontal="center" vertical="center"/>
      <protection locked="1" hidden="1"/>
    </xf>
    <xf numFmtId="0" fontId="8" fillId="0" borderId="1" applyAlignment="1" applyProtection="1" pivotButton="0" quotePrefix="0" xfId="0">
      <alignment horizontal="center" vertical="center"/>
      <protection locked="1" hidden="1"/>
    </xf>
    <xf numFmtId="0" fontId="8" fillId="0" borderId="4" applyAlignment="1" applyProtection="1" pivotButton="0" quotePrefix="0" xfId="0">
      <alignment horizontal="center" vertical="center"/>
      <protection locked="1" hidden="1"/>
    </xf>
    <xf numFmtId="0" fontId="19" fillId="0" borderId="0" applyAlignment="1" applyProtection="1" pivotButton="0" quotePrefix="0" xfId="0">
      <alignment horizontal="center" vertical="center" wrapText="1"/>
      <protection locked="1" hidden="1"/>
    </xf>
    <xf numFmtId="0" fontId="8" fillId="0" borderId="0" applyAlignment="1" applyProtection="1" pivotButton="0" quotePrefix="0" xfId="0">
      <alignment horizontal="left" vertical="center"/>
      <protection locked="0" hidden="0"/>
    </xf>
    <xf numFmtId="0" fontId="16" fillId="0" borderId="0" applyAlignment="1" applyProtection="1" pivotButton="0" quotePrefix="0" xfId="0">
      <alignment horizontal="right" vertical="center"/>
      <protection locked="1" hidden="1"/>
    </xf>
    <xf numFmtId="0" fontId="17" fillId="0" borderId="0" applyAlignment="1" applyProtection="1" pivotButton="0" quotePrefix="0" xfId="0">
      <alignment horizontal="right" vertical="center"/>
      <protection locked="1" hidden="1"/>
    </xf>
    <xf numFmtId="0" fontId="4" fillId="0" borderId="0" applyAlignment="1" applyProtection="1" pivotButton="0" quotePrefix="0" xfId="0">
      <alignment horizontal="right" vertical="center"/>
      <protection locked="1" hidden="1"/>
    </xf>
    <xf numFmtId="167" fontId="18" fillId="4" borderId="0" applyAlignment="1" applyProtection="1" pivotButton="0" quotePrefix="0" xfId="0">
      <alignment horizontal="center" vertical="center"/>
      <protection locked="0" hidden="0"/>
    </xf>
    <xf numFmtId="0" fontId="4" fillId="0" borderId="0" applyAlignment="1" applyProtection="1" pivotButton="0" quotePrefix="0" xfId="0">
      <alignment horizontal="left" vertical="center" wrapText="1"/>
      <protection locked="1" hidden="1"/>
    </xf>
    <xf numFmtId="0" fontId="9" fillId="0" borderId="0" applyAlignment="1" pivotButton="0" quotePrefix="0" xfId="0">
      <alignment vertical="center"/>
    </xf>
    <xf numFmtId="164" fontId="9" fillId="0" borderId="0" applyAlignment="1" pivotButton="0" quotePrefix="0" xfId="2">
      <alignment horizontal="center"/>
    </xf>
    <xf numFmtId="164" fontId="2" fillId="2" borderId="0" applyAlignment="1" pivotButton="0" quotePrefix="0" xfId="2">
      <alignment horizontal="center" vertical="center"/>
    </xf>
    <xf numFmtId="164" fontId="9" fillId="0" borderId="0" applyAlignment="1" pivotButton="0" quotePrefix="0" xfId="1">
      <alignment horizontal="center" vertical="top"/>
    </xf>
    <xf numFmtId="164" fontId="9" fillId="0" borderId="0" applyAlignment="1" pivotButton="0" quotePrefix="0" xfId="2">
      <alignment horizontal="center" vertical="top"/>
    </xf>
    <xf numFmtId="167" fontId="2" fillId="0" borderId="0" applyAlignment="1" pivotButton="0" quotePrefix="0" xfId="0">
      <alignment horizontal="center" vertical="center"/>
    </xf>
    <xf numFmtId="167" fontId="2" fillId="0" borderId="0" applyAlignment="1" pivotButton="0" quotePrefix="0" xfId="0">
      <alignment horizontal="center"/>
    </xf>
    <xf numFmtId="167" fontId="9" fillId="0" borderId="0" applyAlignment="1" pivotButton="0" quotePrefix="0" xfId="0">
      <alignment horizontal="center"/>
    </xf>
    <xf numFmtId="167" fontId="9" fillId="0" borderId="0" applyAlignment="1" pivotButton="0" quotePrefix="0" xfId="0">
      <alignment horizontal="left" indent="1"/>
    </xf>
    <xf numFmtId="167" fontId="9" fillId="0" borderId="0" applyAlignment="1" pivotButton="0" quotePrefix="0" xfId="0">
      <alignment vertical="center"/>
    </xf>
    <xf numFmtId="0" fontId="0" fillId="0" borderId="0" applyProtection="1" pivotButton="0" quotePrefix="0" xfId="0">
      <protection locked="1" hidden="1"/>
    </xf>
    <xf numFmtId="167" fontId="18" fillId="4" borderId="0" applyAlignment="1" applyProtection="1" pivotButton="0" quotePrefix="0" xfId="0">
      <alignment horizontal="center" vertical="center"/>
      <protection locked="0" hidden="0"/>
    </xf>
    <xf numFmtId="0" fontId="0" fillId="0" borderId="0" applyProtection="1" pivotButton="0" quotePrefix="0" xfId="0">
      <protection locked="0" hidden="0"/>
    </xf>
    <xf numFmtId="169" fontId="8" fillId="0" borderId="0" applyAlignment="1" applyProtection="1" pivotButton="0" quotePrefix="0" xfId="0">
      <alignment horizontal="center"/>
      <protection locked="1" hidden="1"/>
    </xf>
    <xf numFmtId="0" fontId="0" fillId="0" borderId="1" applyProtection="1" pivotButton="0" quotePrefix="0" xfId="0">
      <protection locked="1" hidden="1"/>
    </xf>
    <xf numFmtId="0" fontId="0" fillId="0" borderId="4" applyProtection="1" pivotButton="0" quotePrefix="0" xfId="0">
      <protection locked="1" hidden="1"/>
    </xf>
    <xf numFmtId="0" fontId="8" fillId="0" borderId="3" applyAlignment="1" applyProtection="1" pivotButton="0" quotePrefix="0" xfId="0">
      <alignment horizontal="center" vertical="center" wrapText="1"/>
      <protection locked="1" hidden="1"/>
    </xf>
    <xf numFmtId="165" fontId="4" fillId="0" borderId="6" applyAlignment="1" applyProtection="1" pivotButton="0" quotePrefix="0" xfId="0">
      <alignment vertical="center"/>
      <protection locked="0" hidden="0"/>
    </xf>
    <xf numFmtId="0" fontId="0" fillId="0" borderId="2" applyProtection="1" pivotButton="0" quotePrefix="0" xfId="0">
      <protection locked="0" hidden="0"/>
    </xf>
    <xf numFmtId="1" fontId="4" fillId="0" borderId="9" applyAlignment="1" applyProtection="1" pivotButton="0" quotePrefix="0" xfId="0">
      <alignment horizontal="center" vertical="center"/>
      <protection locked="0" hidden="0"/>
    </xf>
    <xf numFmtId="0" fontId="0" fillId="0" borderId="6" applyProtection="1" pivotButton="0" quotePrefix="0" xfId="0">
      <protection locked="0" hidden="0"/>
    </xf>
    <xf numFmtId="164" fontId="17" fillId="0" borderId="9" applyAlignment="1" applyProtection="1" pivotButton="0" quotePrefix="0" xfId="0">
      <alignment horizontal="center" vertical="center"/>
      <protection locked="0" hidden="0"/>
    </xf>
    <xf numFmtId="164" fontId="17" fillId="0" borderId="2" applyAlignment="1" applyProtection="1" pivotButton="0" quotePrefix="0" xfId="0">
      <alignment horizontal="left" vertical="center" indent="1"/>
      <protection locked="0" hidden="0"/>
    </xf>
    <xf numFmtId="166" fontId="4" fillId="0" borderId="0" applyAlignment="1" applyProtection="1" pivotButton="0" quotePrefix="0" xfId="1">
      <alignment horizontal="right"/>
      <protection locked="1" hidden="1"/>
    </xf>
    <xf numFmtId="166" fontId="4" fillId="0" borderId="0" applyAlignment="1" applyProtection="1" pivotButton="0" quotePrefix="0" xfId="1">
      <alignment horizontal="right" vertical="center"/>
      <protection locked="1" hidden="1"/>
    </xf>
    <xf numFmtId="166" fontId="4" fillId="0" borderId="8" applyAlignment="1" applyProtection="1" pivotButton="0" quotePrefix="0" xfId="1">
      <alignment horizontal="left"/>
      <protection locked="1" hidden="1"/>
    </xf>
    <xf numFmtId="0" fontId="0" fillId="0" borderId="8" applyProtection="1" pivotButton="0" quotePrefix="0" xfId="0">
      <protection locked="1" hidden="1"/>
    </xf>
    <xf numFmtId="170" fontId="4" fillId="0" borderId="6" applyAlignment="1" applyProtection="1" pivotButton="0" quotePrefix="0" xfId="0">
      <alignment vertical="center"/>
      <protection locked="0" hidden="0"/>
    </xf>
    <xf numFmtId="171" fontId="17" fillId="0" borderId="9" applyAlignment="1" applyProtection="1" pivotButton="0" quotePrefix="0" xfId="0">
      <alignment horizontal="center" vertical="center"/>
      <protection locked="0" hidden="0"/>
    </xf>
  </cellXfs>
  <cellStyles count="3">
    <cellStyle name="Standard" xfId="0" builtinId="0"/>
    <cellStyle name="Standard 2" xfId="1"/>
    <cellStyle name="Standard 3" xfId="2"/>
  </cellStyles>
  <dxfs count="4">
    <dxf>
      <fill>
        <patternFill>
          <bgColor rgb="FFFFFFCC"/>
        </patternFill>
      </fill>
    </dxf>
    <dxf>
      <font>
        <b val="1"/>
      </font>
      <fill>
        <patternFill>
          <bgColor rgb="FFFFFF00"/>
        </patternFill>
      </fill>
    </dxf>
    <dxf>
      <border>
        <left/>
        <right/>
        <top/>
        <bottom/>
        <vertical/>
        <horizontal/>
      </border>
    </dxf>
    <dxf>
      <border>
        <left/>
        <right/>
        <top/>
        <bottom/>
        <vertical/>
        <horizontal/>
      </border>
    </dxf>
  </dxf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comments/comment1.xml><?xml version="1.0" encoding="utf-8"?>
<comments xmlns="http://schemas.openxmlformats.org/spreadsheetml/2006/main">
  <authors>
    <author>Silvia Stafast</author>
  </authors>
  <commentList>
    <comment ref="A61" authorId="0" shapeId="0">
      <text>
        <t>Silvia Stafast:
PNC = Portal Next Cloud</t>
      </text>
    </comment>
  </commentList>
</comments>
</file>

<file path=xl/comments/comment2.xml><?xml version="1.0" encoding="utf-8"?>
<comments xmlns="http://schemas.openxmlformats.org/spreadsheetml/2006/main">
  <authors>
    <author>Silvia Stafast</author>
  </authors>
  <commentList>
    <comment ref="C221" authorId="0" shapeId="0">
      <text>
        <t>Silvia Stafast:
Vorsicht - abweichende Formel!</t>
      </text>
    </comment>
  </commentList>
</comments>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3.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sheet1.xml><?xml version="1.0" encoding="utf-8"?>
<worksheet xmlns="http://schemas.openxmlformats.org/spreadsheetml/2006/main">
  <sheetPr>
    <outlinePr summaryBelow="1" summaryRight="1"/>
    <pageSetUpPr/>
  </sheetPr>
  <dimension ref="A1:A3"/>
  <sheetViews>
    <sheetView workbookViewId="0">
      <selection activeCell="A20" sqref="A20"/>
    </sheetView>
  </sheetViews>
  <sheetFormatPr baseColWidth="10" defaultRowHeight="12.75"/>
  <cols>
    <col width="45.140625" bestFit="1" customWidth="1" min="1" max="1"/>
  </cols>
  <sheetData>
    <row r="1" ht="15" customHeight="1">
      <c r="A1" s="92" t="inlineStr">
        <is>
          <t>Überweisung oder Einzug des Betrages</t>
        </is>
      </c>
    </row>
    <row r="2" ht="15" customHeight="1">
      <c r="A2" s="93" t="inlineStr">
        <is>
          <t>Der Betrag ist von folgendem Konto einzuziehen:</t>
        </is>
      </c>
    </row>
    <row r="3" ht="15" customHeight="1">
      <c r="A3" s="93" t="inlineStr">
        <is>
          <t>Der Betrag wird überwiesen</t>
        </is>
      </c>
    </row>
  </sheetData>
  <sheetProtection selectLockedCells="1" selectUnlockedCells="0" algorithmName="SHA-512" sheet="1" objects="1" insertRows="1" insertHyperlinks="1" autoFilter="1" scenarios="1" formatColumns="1" deleteColumns="1" insertColumns="1" pivotTables="1" deleteRows="1" formatCells="1" saltValue="775B44K8PPtic7+9VLjkWQ==" formatRows="1" sort="1" spinCount="100000" hashValue="8emI01x/VaWg33ccWXw4P8WbpdKKSNdNSuuVP1YfBYdz0ohP8aBiCIVRi4LPh5Ad+7GJFrpH0CSfqtiOb48wxg=="/>
  <pageMargins left="0.7" right="0.7" top="0.787401575" bottom="0.787401575" header="0.3" footer="0.3"/>
</worksheet>
</file>

<file path=xl/worksheets/sheet2.xml><?xml version="1.0" encoding="utf-8"?>
<worksheet xmlns="http://schemas.openxmlformats.org/spreadsheetml/2006/main">
  <sheetPr codeName="Tabelle21">
    <outlinePr summaryBelow="1" summaryRight="1"/>
    <pageSetUpPr/>
  </sheetPr>
  <dimension ref="A1:C68"/>
  <sheetViews>
    <sheetView workbookViewId="0">
      <pane ySplit="1" topLeftCell="A42" activePane="bottomLeft" state="frozen"/>
      <selection pane="bottomLeft" activeCell="C74" sqref="C74"/>
    </sheetView>
  </sheetViews>
  <sheetFormatPr baseColWidth="10" defaultRowHeight="12.75"/>
  <cols>
    <col width="11.42578125" customWidth="1" style="9" min="1" max="1"/>
    <col width="11.42578125" customWidth="1" style="126" min="2" max="2"/>
    <col width="105.85546875" customWidth="1" style="11" min="3" max="3"/>
    <col width="11.42578125" customWidth="1" style="11" min="4" max="16384"/>
  </cols>
  <sheetData>
    <row r="1" ht="24" customFormat="1" customHeight="1" s="6">
      <c r="A1" s="3" t="inlineStr">
        <is>
          <t>Version</t>
        </is>
      </c>
      <c r="B1" s="127" t="inlineStr">
        <is>
          <t>Datum</t>
        </is>
      </c>
      <c r="C1" s="5" t="inlineStr">
        <is>
          <t>Beschreibung der Änderung</t>
        </is>
      </c>
    </row>
    <row r="2" ht="25.5" customFormat="1" customHeight="1" s="54">
      <c r="A2" s="51" t="inlineStr">
        <is>
          <t>1.2</t>
        </is>
      </c>
      <c r="B2" s="128" t="n">
        <v>41992</v>
      </c>
      <c r="C2" s="53" t="inlineStr">
        <is>
          <t>Integration Optionsfeld "Weiterzuleitende Kollekten" im Register "Empfohlen und Trennung der Register in zwei Dateien (a=Pflichtkollekten; b=Kollekten für die eigene Gemeinde und zur Weiterleitung)</t>
        </is>
      </c>
    </row>
    <row r="3" customFormat="1" s="54">
      <c r="A3" s="51" t="inlineStr">
        <is>
          <t>1.3</t>
        </is>
      </c>
      <c r="B3" s="128" t="n">
        <v>42002</v>
      </c>
      <c r="C3" s="53" t="inlineStr">
        <is>
          <t>Korrektur des Zahlenformats aller Blöcke der IBAN-Nummer = Text im Register"Empfohlen"</t>
        </is>
      </c>
    </row>
    <row r="4" ht="51" customFormat="1" customHeight="1" s="54">
      <c r="A4" s="51" t="inlineStr">
        <is>
          <t>1.4</t>
        </is>
      </c>
      <c r="B4" s="128" t="n">
        <v>42092</v>
      </c>
      <c r="C4" s="53" t="inlineStr">
        <is>
          <t>Anpassung der Spaltenbreiten für 100%ige Darstellung und Ausdruck
Bedingte Formatierung für Eingabe der RT-Nummer
Farbumstellung EKHN-Logo und Schriftzug auf s/w
Veränderung der Anzeige zur Handkasse "HKxxxx Gemeindebüro"</t>
        </is>
      </c>
    </row>
    <row r="5" ht="25.5" customFormat="1" customHeight="1" s="54">
      <c r="A5" s="51" t="inlineStr">
        <is>
          <t>1.5</t>
        </is>
      </c>
      <c r="B5" s="128" t="n">
        <v>42093</v>
      </c>
      <c r="C5" s="7" t="inlineStr">
        <is>
          <t>Änderung des Abrufs der Mandanten-Nr. (Anpassung SVERWEIS)
Änderung der Datenbanken der Rechtsträger</t>
        </is>
      </c>
    </row>
    <row r="6" customFormat="1" s="54">
      <c r="A6" s="51" t="inlineStr">
        <is>
          <t>1.6</t>
        </is>
      </c>
      <c r="B6" s="129" t="n">
        <v>42352</v>
      </c>
      <c r="C6" s="8" t="inlineStr">
        <is>
          <t>Ergänzung RT "Gesamtgemeinde Wiesbaden" in Datenbank RT</t>
        </is>
      </c>
    </row>
    <row r="7" customFormat="1" s="54">
      <c r="A7" s="51" t="inlineStr">
        <is>
          <t>1.7</t>
        </is>
      </c>
      <c r="B7" s="128" t="n">
        <v>42389</v>
      </c>
      <c r="C7" s="54" t="inlineStr">
        <is>
          <t>Formatierung des Feldes Aobj in beiden Registern als Text</t>
        </is>
      </c>
    </row>
    <row r="8" customFormat="1" s="54">
      <c r="A8" s="51" t="inlineStr">
        <is>
          <t>1.8</t>
        </is>
      </c>
      <c r="B8" s="128" t="n">
        <v>42556</v>
      </c>
      <c r="C8" s="54" t="inlineStr">
        <is>
          <t>Integration Datenbank RT V1.4</t>
        </is>
      </c>
    </row>
    <row r="9" customFormat="1" s="54">
      <c r="A9" s="51" t="n"/>
      <c r="B9" s="128" t="n"/>
      <c r="C9" s="7" t="inlineStr">
        <is>
          <t>Gitternetzlinien ausgeblendet (sind nicht geschützt, können also vom Anwender selbst wieder eingeschaltet werden)</t>
        </is>
      </c>
    </row>
    <row r="10" customFormat="1" s="54">
      <c r="A10" s="51" t="n"/>
      <c r="B10" s="128" t="n"/>
      <c r="C10" s="7" t="inlineStr">
        <is>
          <t>Veränderung des Blattschutzes: Es dürfen nur noch "nicht gesperrte Zellen" ausgewählt werden</t>
        </is>
      </c>
    </row>
    <row r="11" customFormat="1" s="8">
      <c r="A11" s="50" t="inlineStr">
        <is>
          <t>1.9</t>
        </is>
      </c>
      <c r="B11" s="129" t="n">
        <v>42575</v>
      </c>
      <c r="C11" s="19" t="inlineStr">
        <is>
          <t>Änderungen basierend auf den Ergebnissen des Workshops "Buchungsblätter" vom 20.07.2016:</t>
        </is>
      </c>
    </row>
    <row r="12" ht="27.75" customFormat="1" customHeight="1" s="8">
      <c r="A12" s="50" t="n"/>
      <c r="B12" s="129" t="n"/>
      <c r="C12" s="55" t="inlineStr">
        <is>
          <t>Aufgrund der besprochenen Änderungen wurde für diese Version des Buchungsblatt Kollekten das "Buchungsblatt" in der Version 1.7
als Basis verwendet!</t>
        </is>
      </c>
    </row>
    <row r="13">
      <c r="C13" s="8" t="inlineStr">
        <is>
          <t>Änderung des Passwortes zum Zellschutz</t>
        </is>
      </c>
    </row>
    <row r="14" customFormat="1" s="8">
      <c r="A14" s="50" t="n"/>
      <c r="B14" s="129" t="n"/>
      <c r="C14" s="18" t="inlineStr">
        <is>
          <t>Änderung "Buchungsblatt" in "Buchungsblatt Kollekten"</t>
        </is>
      </c>
    </row>
    <row r="15" customFormat="1" s="8">
      <c r="A15" s="50" t="n"/>
      <c r="B15" s="129" t="n"/>
      <c r="C15" s="18" t="inlineStr">
        <is>
          <t>Entfernung Zeile "Anschrift", "BIC" und "Erläuterung"</t>
        </is>
      </c>
    </row>
    <row r="16" customFormat="1" s="8">
      <c r="A16" s="50" t="n"/>
      <c r="B16" s="129" t="n"/>
      <c r="C16" s="18" t="inlineStr">
        <is>
          <t>Änderung Zelle "SaKo" in "Kollekte vom" - Zahlenformat auf Datum festgelegt</t>
        </is>
      </c>
    </row>
    <row r="17" customFormat="1" s="8">
      <c r="A17" s="50" t="n"/>
      <c r="B17" s="129" t="n"/>
      <c r="C17" s="18" t="inlineStr">
        <is>
          <t>Änderung Zelle "Text" in "Verwendungszweck gem. Abkündigung"</t>
        </is>
      </c>
    </row>
    <row r="18" customFormat="1" s="8">
      <c r="A18" s="50" t="n"/>
      <c r="B18" s="129" t="n"/>
      <c r="C18" s="8" t="inlineStr">
        <is>
          <t>Einfügen ActiveXSteuerelement für Abfrage "Der Betrag wird überwiesen"</t>
        </is>
      </c>
    </row>
    <row r="19" customFormat="1" s="8">
      <c r="A19" s="50" t="n"/>
      <c r="B19" s="129" t="n"/>
      <c r="C19" s="8" t="inlineStr">
        <is>
          <t>Einfügen ActiveXSteuerelement für Abfrage "Der Betrag ist von folgendem Konto einzuziehen"</t>
        </is>
      </c>
    </row>
    <row r="20" customFormat="1" s="8">
      <c r="A20" s="50" t="n"/>
      <c r="B20" s="129" t="n"/>
      <c r="C20" s="79" t="inlineStr">
        <is>
          <t>Änderung für das Register "eigene Gemeinde"</t>
        </is>
      </c>
    </row>
    <row r="21" customFormat="1" s="8">
      <c r="A21" s="50" t="n"/>
      <c r="B21" s="129" t="n"/>
      <c r="C21" s="18" t="inlineStr">
        <is>
          <t>Änderung Zeile "Partnerkonto" in "für die eigene Gemeinde"</t>
        </is>
      </c>
    </row>
    <row r="22" customFormat="1" s="8">
      <c r="A22" s="50" t="n"/>
      <c r="B22" s="129" t="n"/>
      <c r="C22" s="56" t="inlineStr">
        <is>
          <t>Anzahl der Buchungszeilen = 12</t>
        </is>
      </c>
    </row>
    <row r="23" customFormat="1" s="8">
      <c r="A23" s="50" t="n"/>
      <c r="B23" s="129" t="n"/>
      <c r="C23" s="79" t="inlineStr">
        <is>
          <t>Änderung für das Register "zur Weiterleitung"</t>
        </is>
      </c>
    </row>
    <row r="24">
      <c r="C24" s="18" t="inlineStr">
        <is>
          <t>Änderung Zeile "Partnerkonto" in "empfohlene Kollekten zur Weiterleitung"</t>
        </is>
      </c>
    </row>
    <row r="25" customFormat="1" s="8">
      <c r="A25" s="50" t="n"/>
      <c r="B25" s="129" t="n"/>
      <c r="C25" s="8" t="inlineStr">
        <is>
          <t>Einfügen ActiveXSteuerelement für Abfrage "anlässlich Amtshandlung"</t>
        </is>
      </c>
    </row>
    <row r="26">
      <c r="C26" s="11" t="inlineStr">
        <is>
          <t>Einfügen "Partnerkonto (zur Weiterleitung der Kollekte)</t>
        </is>
      </c>
    </row>
    <row r="27">
      <c r="C27" s="11" t="inlineStr">
        <is>
          <t>Einfügen der Zeile "Name/Institution oder Parner-Nr.", "Anschrift", "Bankname", "IBAN" und "BIC"</t>
        </is>
      </c>
    </row>
    <row r="28">
      <c r="C28" s="56" t="inlineStr">
        <is>
          <t>Anzahl der Buchungszeilen = 5</t>
        </is>
      </c>
    </row>
    <row r="29">
      <c r="C29" s="11" t="inlineStr">
        <is>
          <t>Platzierung der Daten für das Partnerkonto in den unteren Bereich des Buchungsblattes</t>
        </is>
      </c>
    </row>
    <row r="30">
      <c r="A30" s="50" t="inlineStr">
        <is>
          <t>2.0</t>
        </is>
      </c>
      <c r="B30" s="129" t="n">
        <v>42648</v>
      </c>
      <c r="C30" s="11" t="inlineStr">
        <is>
          <t>Trennung der beiden Register "eigene Gmeinde" und "zur Weiterleitung" in jeweils eigene Dateien</t>
        </is>
      </c>
    </row>
    <row r="31">
      <c r="A31" s="50" t="n"/>
      <c r="B31" s="129" t="n"/>
      <c r="C31" s="7" t="inlineStr">
        <is>
          <t>Ergänzung "Splitbuchung" für Erkennung OS</t>
        </is>
      </c>
    </row>
    <row r="32">
      <c r="A32" s="50" t="n"/>
      <c r="B32" s="129" t="n"/>
      <c r="C32" s="7" t="inlineStr">
        <is>
          <t>Anpassung Fußzeile und Formatierung 9pt</t>
        </is>
      </c>
    </row>
    <row r="33">
      <c r="A33" s="50" t="n"/>
      <c r="B33" s="129" t="n"/>
      <c r="C33" s="61" t="inlineStr">
        <is>
          <t>- Belegdatum</t>
        </is>
      </c>
    </row>
    <row r="34">
      <c r="C34" s="62" t="inlineStr">
        <is>
          <t>- Versionsstand fest hinterlegt (z.B. "Version Oktober 2016)</t>
        </is>
      </c>
    </row>
    <row r="35">
      <c r="A35" s="9" t="inlineStr">
        <is>
          <t>2.1</t>
        </is>
      </c>
      <c r="B35" s="126" t="n">
        <v>43068</v>
      </c>
      <c r="C35" s="11" t="inlineStr">
        <is>
          <t>Änderung "geprüft" in "Datum / geprüft"</t>
        </is>
      </c>
    </row>
    <row r="36">
      <c r="C36" s="11" t="inlineStr">
        <is>
          <t>Änderung "angeordnet" in "Datum / angeordnet"</t>
        </is>
      </c>
    </row>
    <row r="37">
      <c r="C37" s="11" t="inlineStr">
        <is>
          <t>Fußzeile: Version 2.1 - Dezember 2017</t>
        </is>
      </c>
    </row>
    <row r="38" ht="38.25" customHeight="1">
      <c r="A38" s="50" t="inlineStr">
        <is>
          <t>2.2</t>
        </is>
      </c>
      <c r="B38" s="129" t="n">
        <v>43436</v>
      </c>
      <c r="C38" s="66" t="inlineStr">
        <is>
          <t>Bei einigen RV sind die Bankdaten der Kollektenkassenkonten hinterlegt; diese sollen  automatisch mit der Eingabe der Rechtsträgernummer eingeblendet werden. Allerdings muss eine manuelle Eingabe  ebenfalls möglich sein. Hierzu wurden die folgenden Veränderungen im Formular vorgenommen:</t>
        </is>
      </c>
    </row>
    <row r="39">
      <c r="C39" s="66" t="inlineStr">
        <is>
          <t>Einfügen neuer Spalte "B":</t>
        </is>
      </c>
    </row>
    <row r="40">
      <c r="C40" s="66" t="inlineStr">
        <is>
          <t>Zelle B11: SVERWEIS zur Anzeige des in der Datenbank hinterlegten Banknamens, wenn dieser vorhanden ist</t>
        </is>
      </c>
    </row>
    <row r="41">
      <c r="C41" s="66" t="inlineStr">
        <is>
          <t>Zelle B12: SVERWEIS zur Anzeige der in der Datenbank hinterlegten IBAN, wenn diese vorhanden ist</t>
        </is>
      </c>
    </row>
    <row r="42" ht="25.5" customHeight="1">
      <c r="C42" s="66" t="inlineStr">
        <is>
          <t>Bedingte Formatierung in den Zellbereichen C11:H11 und C13:H13. Hierbei werden die Rahmen nur dann angezeigt, wenn keine Bankverbindung aus der Datenbank ausgelesen wird.</t>
        </is>
      </c>
    </row>
    <row r="43">
      <c r="C43" s="66" t="inlineStr">
        <is>
          <t>Zeilen zur Eingabe von Daten um zwei erweitert</t>
        </is>
      </c>
    </row>
    <row r="44">
      <c r="C44" s="11" t="inlineStr">
        <is>
          <t>Fußzeile: Version 2.2 - Dezember 2018</t>
        </is>
      </c>
    </row>
    <row r="45">
      <c r="A45" s="9" t="inlineStr">
        <is>
          <t>2.3.</t>
        </is>
      </c>
      <c r="B45" s="126" t="n">
        <v>44246</v>
      </c>
      <c r="C45" s="66" t="inlineStr">
        <is>
          <t>Korrektur der Summenformel in A31 (Summe wurde nur bis Zeile 25 berechnet - Erweiterung bis Zeile 30 integriert)</t>
        </is>
      </c>
    </row>
    <row r="46" ht="38.25" customHeight="1">
      <c r="B46" s="129" t="n">
        <v>44407</v>
      </c>
      <c r="C46" s="66" t="inlineStr">
        <is>
          <t>Hinweistext "Bitte tragen Sie Ihre Rechtsträgernummer im roten Feld ein!!" erscheint im Feld E15, wenn die Rechtsträgernummer nicht eingetragen wurde, aber im Bereich A17:A30 Werte eingetragen wurden. Dazu wurde im Feld E15 eine WENN(UND)-Funktion hinterlegt und eine bedingte Formatierung (Schriftfarbe=rot und Schattierung=gelb) eingefügt.</t>
        </is>
      </c>
    </row>
    <row r="47">
      <c r="C47" s="11" t="inlineStr">
        <is>
          <t>Fußzeile: Version 2.3 - Juli 2021</t>
        </is>
      </c>
    </row>
    <row r="48">
      <c r="A48" s="9" t="inlineStr">
        <is>
          <t>2.4</t>
        </is>
      </c>
      <c r="B48" s="126" t="n">
        <v>44916</v>
      </c>
      <c r="C48" s="11" t="inlineStr">
        <is>
          <t>Funktion SVERWEIS in Zelle H2 und B5 auf Spaltenbezug $A:$K geändert</t>
        </is>
      </c>
    </row>
    <row r="49">
      <c r="C49" s="11" t="inlineStr">
        <is>
          <t>Fußzeile: Version 2.4 - Januar 2023</t>
        </is>
      </c>
    </row>
    <row r="50">
      <c r="B50" s="126" t="n">
        <v>45254</v>
      </c>
      <c r="C50" s="11" t="inlineStr">
        <is>
          <t>Fußzeile: Version 2.4 - Januar 2024</t>
        </is>
      </c>
    </row>
    <row r="51">
      <c r="A51" s="9" t="inlineStr">
        <is>
          <t>2.5</t>
        </is>
      </c>
      <c r="B51" s="126" t="n">
        <v>45631</v>
      </c>
      <c r="C51" s="66" t="inlineStr">
        <is>
          <t>Ergänzung Überschrift "Buchungsblatt Kollekten/Spenden"</t>
        </is>
      </c>
    </row>
    <row r="52" ht="40.5" customHeight="1">
      <c r="C52" s="66" t="inlineStr">
        <is>
          <t>Hinweistext "Bitte geben Sie im Verwendungszweck UNBEDINGT an, ob es sich um eine Spende oder eine Kollekte handelt.
Falls der Betrag für einen bestimmten Zweck verwendet werden soll, muss dies deutlich benannt werden!" erscheint im Feld K17, wenn A31&lt;&gt;"". Dazu wurde im Feld L17 eine WENN-Funktion hinterlegt und eine bedingte Formatierung (Schattierung=gelb) eingefügt.</t>
        </is>
      </c>
    </row>
    <row r="53">
      <c r="C53" s="66" t="inlineStr">
        <is>
          <t>Erweiterung des Formulars zur Möglichkeit der Eingabe eines Sachkonto:</t>
        </is>
      </c>
    </row>
    <row r="54">
      <c r="C54" s="66" t="inlineStr">
        <is>
          <t>Einfügen neuer Spalte "D"</t>
        </is>
      </c>
    </row>
    <row r="55">
      <c r="C55" s="66" t="inlineStr">
        <is>
          <t>Entfernung Rahmen in den Zeilen I11 und I13</t>
        </is>
      </c>
    </row>
    <row r="56">
      <c r="C56" s="66" t="inlineStr">
        <is>
          <t>Spaltenbreite Spalte A=17.00</t>
        </is>
      </c>
    </row>
    <row r="57">
      <c r="C57" s="66" t="inlineStr">
        <is>
          <t>Verbinden Spalten B - C / Spalten D - E in Zeilen 17 bis 30 - Ausrichtung zentriert</t>
        </is>
      </c>
    </row>
    <row r="58">
      <c r="C58" s="66" t="inlineStr">
        <is>
          <t>Formatierung D17:D30 als Zahl ohne Nachkomma und 1.000-Kennzeichnung</t>
        </is>
      </c>
    </row>
    <row r="59">
      <c r="C59" s="66" t="inlineStr">
        <is>
          <t>Neue Spaltenüberschrift D16 "Sachkonto"</t>
        </is>
      </c>
    </row>
    <row r="60" ht="25.5" customHeight="1">
      <c r="B60" s="129" t="n">
        <v>45661</v>
      </c>
      <c r="C60" s="66" t="inlineStr">
        <is>
          <t>Formatierung IBAN: C12:G12 Sonderformat Typ "Codigo Postal" (4 Ziffern mit evtl. "führender 0");
H12 Benutzerdefiniertes Format Typ "00" (Begrenzung auf zwei Zahlen)</t>
        </is>
      </c>
    </row>
    <row r="61">
      <c r="A61" s="9" t="inlineStr">
        <is>
          <t>3.0-PNC</t>
        </is>
      </c>
      <c r="B61" s="126" t="n">
        <v>45910</v>
      </c>
      <c r="C61" s="90" t="inlineStr">
        <is>
          <t>Neue Version zur Nutzung im Portal (NextCloud):</t>
        </is>
      </c>
    </row>
    <row r="62">
      <c r="C62" s="11" t="inlineStr">
        <is>
          <t>Entfernung aller Steuerelemente und Ersatz durch die Funtion Datenvalidierung (Daten/Datenprüfung)</t>
        </is>
      </c>
    </row>
    <row r="63">
      <c r="C63" s="91" t="inlineStr">
        <is>
          <t>Auswahl ob der Betrag eingezogen oder überwiesen wird</t>
        </is>
      </c>
    </row>
    <row r="64">
      <c r="C64" s="11" t="inlineStr">
        <is>
          <t>Zelle C10: ermöglicht die Auswahl auf "=Variable!$E$2:$E$3"</t>
        </is>
      </c>
    </row>
    <row r="65">
      <c r="C65" s="11" t="inlineStr">
        <is>
          <t>C12:G12 - Einschränkung der Anzahl Zeichen pro Zelle = 4</t>
        </is>
      </c>
    </row>
    <row r="66">
      <c r="C66" s="11" t="inlineStr">
        <is>
          <t>H12 - Einschränkung der Anzahl Zeichen pro Zelle = 2</t>
        </is>
      </c>
    </row>
    <row r="67">
      <c r="C67" s="66" t="inlineStr">
        <is>
          <t>Versionsstand = September 2025</t>
        </is>
      </c>
    </row>
    <row r="68">
      <c r="B68" s="126" t="n">
        <v>46010</v>
      </c>
      <c r="C68" s="11" t="inlineStr">
        <is>
          <t>Änderung der Formatierung: C12:H12 Zahlenformat = Text</t>
        </is>
      </c>
    </row>
  </sheetData>
  <sheetProtection selectLockedCells="1" selectUnlockedCells="1" algorithmName="SHA-512" sheet="1" objects="1" insertRows="1" insertHyperlinks="1" autoFilter="1" scenarios="1" formatColumns="1" deleteColumns="1" insertColumns="1" pivotTables="1" deleteRows="1" formatCells="1" saltValue="pB24YCQo05X519611rijYA==" formatRows="1" sort="1" spinCount="100000" hashValue="WH8DZ/IoIp4524whtQBeiwi1aOPbYY9mIcfSpADOUrXOVvPXhVHtWgrRuFCUqsFCozqjm4UQW3Ri+3mE9yehRw=="/>
  <pageMargins left="0.7086614173228347" right="0.7086614173228347" top="0.7874015748031497" bottom="0.7874015748031497" header="0.3149606299212598" footer="0.3149606299212598"/>
  <pageSetup orientation="landscape" paperSize="9"/>
  <headerFooter>
    <oddHeader>&amp;C&amp;"Calibri,Fett"&amp;14 Dokumentation Buchungsblatt allgemein</oddHeader>
    <oddFooter>&amp;L&amp;"Calibri,Standard"&amp;7 Stand: &amp;D&amp;C&amp;"Calibri,Standard"&amp;7 Seite &amp;P von &amp;N&amp;R&amp;"Calibri,Standard"&amp;7 Datei: &amp;F</oddFooter>
    <evenHeader/>
    <evenFooter/>
    <firstHeader/>
    <firstFooter/>
  </headerFooter>
  <legacyDrawing xmlns:r="http://schemas.openxmlformats.org/officeDocument/2006/relationships" r:id="anysvml"/>
</worksheet>
</file>

<file path=xl/worksheets/sheet3.xml><?xml version="1.0" encoding="utf-8"?>
<worksheet xmlns="http://schemas.openxmlformats.org/spreadsheetml/2006/main">
  <sheetPr codeName="Tabelle211">
    <outlinePr summaryBelow="1" summaryRight="1"/>
    <pageSetUpPr/>
  </sheetPr>
  <dimension ref="A1:N242"/>
  <sheetViews>
    <sheetView workbookViewId="0">
      <pane ySplit="1" topLeftCell="A2" activePane="bottomLeft" state="frozen"/>
      <selection pane="bottomLeft" activeCell="C1" sqref="C1:K1048576"/>
    </sheetView>
  </sheetViews>
  <sheetFormatPr baseColWidth="10" defaultRowHeight="12.75"/>
  <cols>
    <col width="9.140625" customWidth="1" style="82" min="1" max="1"/>
    <col width="41.42578125" bestFit="1" customWidth="1" style="1" min="2" max="2"/>
    <col hidden="1" width="18.7109375" customWidth="1" style="1" min="3" max="3"/>
    <col hidden="1" width="15.28515625" customWidth="1" style="1" min="4" max="4"/>
    <col hidden="1" width="14" customWidth="1" style="2" min="5" max="6"/>
    <col hidden="1" width="26" customWidth="1" style="2" min="7" max="8"/>
    <col hidden="1" width="29.5703125" customWidth="1" style="2" min="9" max="9"/>
    <col hidden="1" width="26" customWidth="1" style="2" min="10" max="11"/>
    <col width="7.7109375" customWidth="1" style="1" min="12" max="12"/>
    <col width="7" customWidth="1" style="1" min="13" max="13"/>
    <col width="23.7109375" bestFit="1" customWidth="1" style="1" min="14" max="14"/>
    <col width="11.42578125" customWidth="1" style="1" min="15" max="16384"/>
  </cols>
  <sheetData>
    <row r="1" ht="36.75" customFormat="1" customHeight="1" s="12">
      <c r="A1" s="130" t="inlineStr">
        <is>
          <t>RT</t>
        </is>
      </c>
      <c r="B1" s="13" t="inlineStr">
        <is>
          <t>Kirchengemeinde / Dekanat /RV</t>
        </is>
      </c>
      <c r="C1" s="14" t="inlineStr">
        <is>
          <t>Handkasse der</t>
        </is>
      </c>
      <c r="D1" s="68" t="inlineStr">
        <is>
          <t>HK-Nr. und RT-Nr.
für Handkasse</t>
        </is>
      </c>
      <c r="E1" s="12" t="inlineStr">
        <is>
          <t>Mandant</t>
        </is>
      </c>
      <c r="F1" s="12" t="inlineStr">
        <is>
          <t>RT-Nr. Dekanat</t>
        </is>
      </c>
      <c r="G1" s="59" t="inlineStr">
        <is>
          <t>Dekanatszuordnung</t>
        </is>
      </c>
      <c r="H1" s="69" t="inlineStr">
        <is>
          <t>Kollekten/
IBAN</t>
        </is>
      </c>
      <c r="I1" s="69" t="inlineStr">
        <is>
          <t>Bankname</t>
        </is>
      </c>
      <c r="J1" s="69" t="inlineStr">
        <is>
          <t>BIC</t>
        </is>
      </c>
      <c r="K1" s="14" t="inlineStr">
        <is>
          <t>KfM-Empfänger-Nr.</t>
        </is>
      </c>
      <c r="L1" s="17" t="inlineStr">
        <is>
          <t>RV</t>
        </is>
      </c>
      <c r="M1" s="15" t="n">
        <v>90012</v>
      </c>
      <c r="N1" s="16" t="inlineStr">
        <is>
          <t>Rhein-Lahn-Westerwald</t>
        </is>
      </c>
    </row>
    <row r="2">
      <c r="A2" s="131" t="n">
        <v>1</v>
      </c>
      <c r="B2" s="63" t="inlineStr">
        <is>
          <t>Ev. RVV Rhein-Lahn-Westerwald</t>
        </is>
      </c>
      <c r="C2" s="1">
        <f>MID(B2,5,100)</f>
        <v/>
      </c>
      <c r="D2" s="2">
        <f>IF(LEN($A2)&lt;=4,LEFT(TEXT($A2,"0000"),4),LEFT(TEXT($A2,"000000"),4))</f>
        <v/>
      </c>
      <c r="E2" s="2">
        <f>$M$1&amp;$D2</f>
        <v/>
      </c>
      <c r="F2" s="132" t="n"/>
      <c r="G2" s="125" t="n"/>
      <c r="H2" s="71" t="n"/>
      <c r="I2" s="71" t="n"/>
      <c r="J2" s="71" t="n"/>
      <c r="K2" s="71" t="n"/>
      <c r="L2" s="64" t="n"/>
      <c r="M2" s="65" t="n"/>
    </row>
    <row r="3">
      <c r="A3" s="131" t="n">
        <v>6801</v>
      </c>
      <c r="B3" s="72" t="inlineStr">
        <is>
          <t>Ev. Kirchengemeinde Ackerbach-Rettert</t>
        </is>
      </c>
      <c r="C3" s="1">
        <f>MID(B3,5,100)</f>
        <v/>
      </c>
      <c r="D3" s="2">
        <f>IF(LEN($A3)&lt;=4,LEFT(TEXT($A3,"0000"),4),LEFT(TEXT($A3,"000000"),4))</f>
        <v/>
      </c>
      <c r="E3" s="2">
        <f>$M$1&amp;$D3</f>
        <v/>
      </c>
      <c r="F3" s="132" t="n">
        <v>900126898</v>
      </c>
      <c r="G3" s="72" t="inlineStr">
        <is>
          <t>Ev. Dekanat Nassauer Land</t>
        </is>
      </c>
      <c r="H3" s="1" t="n"/>
      <c r="I3" s="1" t="n"/>
      <c r="J3" s="1" t="n"/>
      <c r="K3" s="71" t="n"/>
      <c r="M3" s="65" t="n"/>
    </row>
    <row r="4">
      <c r="A4" s="131" t="n">
        <v>6802</v>
      </c>
      <c r="B4" s="72" t="inlineStr">
        <is>
          <t>Ev. Kirchengemeinde Bad Ems</t>
        </is>
      </c>
      <c r="C4" s="1">
        <f>MID(B4,5,100)</f>
        <v/>
      </c>
      <c r="D4" s="2">
        <f>IF(LEN($A4)&lt;=4,LEFT(TEXT($A4,"0000"),4),LEFT(TEXT($A4,"000000"),4))</f>
        <v/>
      </c>
      <c r="E4" s="2">
        <f>$M$1&amp;$D4</f>
        <v/>
      </c>
      <c r="F4" s="132" t="n">
        <v>900126898</v>
      </c>
      <c r="G4" s="72" t="inlineStr">
        <is>
          <t>Ev. Dekanat Nassauer Land</t>
        </is>
      </c>
      <c r="H4" s="1" t="n"/>
      <c r="I4" s="1" t="n"/>
      <c r="J4" s="1" t="n"/>
      <c r="K4" s="71" t="n"/>
      <c r="M4" s="65" t="n"/>
    </row>
    <row r="5">
      <c r="A5" s="131" t="n">
        <v>6804</v>
      </c>
      <c r="B5" s="72" t="inlineStr">
        <is>
          <t>Ev. Kirchengemeinde Braubach</t>
        </is>
      </c>
      <c r="C5" s="1">
        <f>MID(B5,5,100)</f>
        <v/>
      </c>
      <c r="D5" s="2">
        <f>IF(LEN($A5)&lt;=4,LEFT(TEXT($A5,"0000"),4),LEFT(TEXT($A5,"000000"),4))</f>
        <v/>
      </c>
      <c r="E5" s="2">
        <f>$M$1&amp;$D5</f>
        <v/>
      </c>
      <c r="F5" s="132" t="n">
        <v>900126898</v>
      </c>
      <c r="G5" s="72" t="inlineStr">
        <is>
          <t>Ev. Dekanat Nassauer Land</t>
        </is>
      </c>
      <c r="H5" s="1" t="n"/>
      <c r="I5" s="1" t="n"/>
      <c r="J5" s="1" t="n"/>
      <c r="K5" s="71" t="n"/>
    </row>
    <row r="6">
      <c r="A6" s="131" t="n">
        <v>6805</v>
      </c>
      <c r="B6" s="72" t="inlineStr">
        <is>
          <t>Ev. Kirchengemeinde Burgschwalbach</t>
        </is>
      </c>
      <c r="C6" s="1">
        <f>MID(B6,5,100)</f>
        <v/>
      </c>
      <c r="D6" s="2">
        <f>IF(LEN($A6)&lt;=4,LEFT(TEXT($A6,"0000"),4),LEFT(TEXT($A6,"000000"),4))</f>
        <v/>
      </c>
      <c r="E6" s="2">
        <f>$M$1&amp;$D6</f>
        <v/>
      </c>
      <c r="F6" s="132" t="n">
        <v>900126898</v>
      </c>
      <c r="G6" s="72" t="inlineStr">
        <is>
          <t>Ev. Dekanat Nassauer Land</t>
        </is>
      </c>
      <c r="H6" s="1" t="n"/>
      <c r="I6" s="1" t="n"/>
      <c r="J6" s="1" t="n"/>
      <c r="K6" s="71" t="n"/>
    </row>
    <row r="7">
      <c r="A7" s="131" t="n">
        <v>6810</v>
      </c>
      <c r="B7" s="72" t="inlineStr">
        <is>
          <t>Ev. KGM Diez</t>
        </is>
      </c>
      <c r="C7" s="1">
        <f>MID(B7,5,100)</f>
        <v/>
      </c>
      <c r="D7" s="2">
        <f>IF(LEN($A7)&lt;=4,LEFT(TEXT($A7,"0000"),4),LEFT(TEXT($A7,"000000"),4))</f>
        <v/>
      </c>
      <c r="E7" s="2">
        <f>$M$1&amp;$D7</f>
        <v/>
      </c>
      <c r="F7" s="132" t="n">
        <v>900126898</v>
      </c>
      <c r="G7" s="72" t="inlineStr">
        <is>
          <t>Ev. Dekanat Nassauer Land</t>
        </is>
      </c>
      <c r="H7" s="1" t="n"/>
      <c r="I7" s="1" t="n"/>
      <c r="J7" s="1" t="n"/>
      <c r="K7" s="71" t="n"/>
    </row>
    <row r="8">
      <c r="A8" s="131" t="n">
        <v>6811</v>
      </c>
      <c r="B8" s="72" t="inlineStr">
        <is>
          <t>Ev. Kirchengemeinde Diez St. Peter</t>
        </is>
      </c>
      <c r="C8" s="1">
        <f>MID(B8,5,100)</f>
        <v/>
      </c>
      <c r="D8" s="2">
        <f>IF(LEN($A8)&lt;=4,LEFT(TEXT($A8,"0000"),4),LEFT(TEXT($A8,"000000"),4))</f>
        <v/>
      </c>
      <c r="E8" s="2">
        <f>$M$1&amp;$D8</f>
        <v/>
      </c>
      <c r="F8" s="132" t="n">
        <v>900126898</v>
      </c>
      <c r="G8" s="72" t="inlineStr">
        <is>
          <t>Ev. Dekanat Nassauer Land</t>
        </is>
      </c>
      <c r="H8" s="1" t="n"/>
      <c r="I8" s="1" t="n"/>
      <c r="J8" s="1" t="n"/>
      <c r="K8" s="71" t="n"/>
    </row>
    <row r="9">
      <c r="A9" s="131" t="n">
        <v>6813</v>
      </c>
      <c r="B9" s="72" t="inlineStr">
        <is>
          <t>Ev. Kirchengemeinde Dörsdorf-Reckenroth</t>
        </is>
      </c>
      <c r="C9" s="1">
        <f>MID(B9,5,100)</f>
        <v/>
      </c>
      <c r="D9" s="2">
        <f>IF(LEN($A9)&lt;=4,LEFT(TEXT($A9,"0000"),4),LEFT(TEXT($A9,"000000"),4))</f>
        <v/>
      </c>
      <c r="E9" s="2">
        <f>$M$1&amp;$D9</f>
        <v/>
      </c>
      <c r="F9" s="132" t="n">
        <v>900126898</v>
      </c>
      <c r="G9" s="72" t="inlineStr">
        <is>
          <t>Ev. Dekanat Nassauer Land</t>
        </is>
      </c>
      <c r="H9" s="1" t="n"/>
      <c r="I9" s="1" t="n"/>
      <c r="J9" s="1" t="n"/>
      <c r="K9" s="71" t="n"/>
    </row>
    <row r="10">
      <c r="A10" s="131" t="n">
        <v>6815</v>
      </c>
      <c r="B10" s="72" t="inlineStr">
        <is>
          <t>Ev. Kirchengemeinde Flacht</t>
        </is>
      </c>
      <c r="C10" s="1">
        <f>MID(B10,5,100)</f>
        <v/>
      </c>
      <c r="D10" s="2">
        <f>IF(LEN($A10)&lt;=4,LEFT(TEXT($A10,"0000"),4),LEFT(TEXT($A10,"000000"),4))</f>
        <v/>
      </c>
      <c r="E10" s="2">
        <f>$M$1&amp;$D10</f>
        <v/>
      </c>
      <c r="F10" s="132" t="n">
        <v>900126898</v>
      </c>
      <c r="G10" s="72" t="inlineStr">
        <is>
          <t>Ev. Dekanat Nassauer Land</t>
        </is>
      </c>
      <c r="H10" s="1" t="n"/>
      <c r="I10" s="1" t="n"/>
      <c r="J10" s="1" t="n"/>
      <c r="K10" s="71" t="n"/>
    </row>
    <row r="11">
      <c r="A11" s="131" t="n">
        <v>6816</v>
      </c>
      <c r="B11" s="72" t="inlineStr">
        <is>
          <t>Ev. Kirchengemeinde Friedland</t>
        </is>
      </c>
      <c r="C11" s="1">
        <f>MID(B11,5,100)</f>
        <v/>
      </c>
      <c r="D11" s="2">
        <f>IF(LEN($A11)&lt;=4,LEFT(TEXT($A11,"0000"),4),LEFT(TEXT($A11,"000000"),4))</f>
        <v/>
      </c>
      <c r="E11" s="2">
        <f>$M$1&amp;$D11</f>
        <v/>
      </c>
      <c r="F11" s="132" t="n">
        <v>900126898</v>
      </c>
      <c r="G11" s="72" t="inlineStr">
        <is>
          <t>Ev. Dekanat Nassauer Land</t>
        </is>
      </c>
      <c r="H11" s="1" t="n"/>
      <c r="I11" s="1" t="n"/>
      <c r="J11" s="1" t="n"/>
      <c r="K11" s="71" t="n"/>
    </row>
    <row r="12">
      <c r="A12" s="131" t="n">
        <v>6820</v>
      </c>
      <c r="B12" s="72" t="inlineStr">
        <is>
          <t>Ev. Kirchengemeinde Habenscheid</t>
        </is>
      </c>
      <c r="C12" s="1">
        <f>MID(B12,5,100)</f>
        <v/>
      </c>
      <c r="D12" s="2">
        <f>IF(LEN($A12)&lt;=4,LEFT(TEXT($A12,"0000"),4),LEFT(TEXT($A12,"000000"),4))</f>
        <v/>
      </c>
      <c r="E12" s="2">
        <f>$M$1&amp;$D12</f>
        <v/>
      </c>
      <c r="F12" s="132" t="n">
        <v>900126898</v>
      </c>
      <c r="G12" s="72" t="inlineStr">
        <is>
          <t>Ev. Dekanat Nassauer Land</t>
        </is>
      </c>
      <c r="H12" s="1" t="n"/>
      <c r="I12" s="1" t="n"/>
      <c r="J12" s="1" t="n"/>
      <c r="K12" s="71" t="n"/>
    </row>
    <row r="13">
      <c r="A13" s="131" t="n">
        <v>6821</v>
      </c>
      <c r="B13" s="72" t="inlineStr">
        <is>
          <t>Ev. Kirchengemeinde Hahnstätten-Kaltenholzhausen</t>
        </is>
      </c>
      <c r="C13" s="1">
        <f>MID(B13,5,100)</f>
        <v/>
      </c>
      <c r="D13" s="2">
        <f>IF(LEN($A13)&lt;=4,LEFT(TEXT($A13,"0000"),4),LEFT(TEXT($A13,"000000"),4))</f>
        <v/>
      </c>
      <c r="E13" s="2">
        <f>$M$1&amp;$D13</f>
        <v/>
      </c>
      <c r="F13" s="132" t="n">
        <v>900126898</v>
      </c>
      <c r="G13" s="72" t="inlineStr">
        <is>
          <t>Ev. Dekanat Nassauer Land</t>
        </is>
      </c>
      <c r="H13" s="1" t="n"/>
      <c r="I13" s="1" t="n"/>
      <c r="J13" s="1" t="n"/>
      <c r="K13" s="71" t="n"/>
    </row>
    <row r="14">
      <c r="A14" s="131" t="n">
        <v>6824</v>
      </c>
      <c r="B14" s="72" t="inlineStr">
        <is>
          <t>Ev. Kreuz-Jakobus-Gemeinde Holzhausen</t>
        </is>
      </c>
      <c r="C14" s="1">
        <f>MID(B14,5,100)</f>
        <v/>
      </c>
      <c r="D14" s="2">
        <f>IF(LEN($A14)&lt;=4,LEFT(TEXT($A14,"0000"),4),LEFT(TEXT($A14,"000000"),4))</f>
        <v/>
      </c>
      <c r="E14" s="2">
        <f>$M$1&amp;$D14</f>
        <v/>
      </c>
      <c r="F14" s="132" t="n">
        <v>900126898</v>
      </c>
      <c r="G14" s="72" t="inlineStr">
        <is>
          <t>Ev. Dekanat Nassauer Land</t>
        </is>
      </c>
      <c r="H14" s="1" t="n"/>
      <c r="I14" s="1" t="n"/>
      <c r="J14" s="1" t="n"/>
      <c r="K14" s="71" t="n"/>
    </row>
    <row r="15">
      <c r="A15" s="131" t="n">
        <v>6828</v>
      </c>
      <c r="B15" s="72" t="inlineStr">
        <is>
          <t>Ev. Kirchengemeinde Klingelbach</t>
        </is>
      </c>
      <c r="C15" s="1">
        <f>MID(B15,5,100)</f>
        <v/>
      </c>
      <c r="D15" s="2">
        <f>IF(LEN($A15)&lt;=4,LEFT(TEXT($A15,"0000"),4),LEFT(TEXT($A15,"000000"),4))</f>
        <v/>
      </c>
      <c r="E15" s="2">
        <f>$M$1&amp;$D15</f>
        <v/>
      </c>
      <c r="F15" s="132" t="n">
        <v>900126898</v>
      </c>
      <c r="G15" s="72" t="inlineStr">
        <is>
          <t>Ev. Dekanat Nassauer Land</t>
        </is>
      </c>
      <c r="H15" s="1" t="n"/>
      <c r="I15" s="1" t="n"/>
      <c r="J15" s="1" t="n"/>
      <c r="K15" s="71" t="n"/>
    </row>
    <row r="16">
      <c r="A16" s="131" t="n">
        <v>6836</v>
      </c>
      <c r="B16" s="72" t="inlineStr">
        <is>
          <t>Ev. Kirchengemeinde Niederlahnstein</t>
        </is>
      </c>
      <c r="C16" s="1">
        <f>MID(B16,5,100)</f>
        <v/>
      </c>
      <c r="D16" s="2">
        <f>IF(LEN($A16)&lt;=4,LEFT(TEXT($A16,"0000"),4),LEFT(TEXT($A16,"000000"),4))</f>
        <v/>
      </c>
      <c r="E16" s="2">
        <f>$M$1&amp;$D16</f>
        <v/>
      </c>
      <c r="F16" s="132" t="n">
        <v>900126898</v>
      </c>
      <c r="G16" s="72" t="inlineStr">
        <is>
          <t>Ev. Dekanat Nassauer Land</t>
        </is>
      </c>
      <c r="H16" s="1" t="n"/>
      <c r="I16" s="1" t="n"/>
      <c r="J16" s="1" t="n"/>
      <c r="K16" s="71" t="n"/>
    </row>
    <row r="17">
      <c r="A17" s="131" t="n">
        <v>6837</v>
      </c>
      <c r="B17" s="72" t="inlineStr">
        <is>
          <t>Ev. Kirchengemeinde Niedertiefenbach</t>
        </is>
      </c>
      <c r="C17" s="1">
        <f>MID(B17,5,100)</f>
        <v/>
      </c>
      <c r="D17" s="2">
        <f>IF(LEN($A17)&lt;=4,LEFT(TEXT($A17,"0000"),4),LEFT(TEXT($A17,"000000"),4))</f>
        <v/>
      </c>
      <c r="E17" s="2">
        <f>$M$1&amp;$D17</f>
        <v/>
      </c>
      <c r="F17" s="132" t="n">
        <v>900126898</v>
      </c>
      <c r="G17" s="72" t="inlineStr">
        <is>
          <t>Ev. Dekanat Nassauer Land</t>
        </is>
      </c>
      <c r="H17" s="1" t="n"/>
      <c r="I17" s="1" t="n"/>
      <c r="J17" s="1" t="n"/>
      <c r="K17" s="133" t="n"/>
    </row>
    <row r="18">
      <c r="A18" s="131" t="n">
        <v>6840</v>
      </c>
      <c r="B18" s="72" t="inlineStr">
        <is>
          <t>Ev. Kirchengemeinde Oberlahnstein</t>
        </is>
      </c>
      <c r="C18" s="1">
        <f>MID(B18,5,100)</f>
        <v/>
      </c>
      <c r="D18" s="2">
        <f>IF(LEN($A18)&lt;=4,LEFT(TEXT($A18,"0000"),4),LEFT(TEXT($A18,"000000"),4))</f>
        <v/>
      </c>
      <c r="E18" s="2">
        <f>$M$1&amp;$D18</f>
        <v/>
      </c>
      <c r="F18" s="132" t="n">
        <v>900126898</v>
      </c>
      <c r="G18" s="72" t="inlineStr">
        <is>
          <t>Ev. Dekanat Nassauer Land</t>
        </is>
      </c>
      <c r="H18" s="1" t="n"/>
      <c r="I18" s="1" t="n"/>
      <c r="J18" s="1" t="n"/>
      <c r="K18" s="71" t="n"/>
    </row>
    <row r="19">
      <c r="A19" s="131" t="n">
        <v>6841</v>
      </c>
      <c r="B19" s="72" t="inlineStr">
        <is>
          <t>Ev. Kirchengemeinde Oberneisen</t>
        </is>
      </c>
      <c r="C19" s="1">
        <f>MID(B19,5,100)</f>
        <v/>
      </c>
      <c r="D19" s="2">
        <f>IF(LEN($A19)&lt;=4,LEFT(TEXT($A19,"0000"),4),LEFT(TEXT($A19,"000000"),4))</f>
        <v/>
      </c>
      <c r="E19" s="2">
        <f>$M$1&amp;$D19</f>
        <v/>
      </c>
      <c r="F19" s="132" t="n">
        <v>900126898</v>
      </c>
      <c r="G19" s="72" t="inlineStr">
        <is>
          <t>Ev. Dekanat Nassauer Land</t>
        </is>
      </c>
      <c r="H19" s="1" t="n"/>
      <c r="I19" s="1" t="n"/>
      <c r="J19" s="1" t="n"/>
      <c r="K19" s="71" t="n"/>
    </row>
    <row r="20">
      <c r="A20" s="131" t="n">
        <v>6848</v>
      </c>
      <c r="B20" s="72" t="inlineStr">
        <is>
          <t>Ev. Kirchengemeinde der Stiftung Scheuern</t>
        </is>
      </c>
      <c r="C20" s="1">
        <f>MID(B20,5,100)</f>
        <v/>
      </c>
      <c r="D20" s="2">
        <f>IF(LEN($A20)&lt;=4,LEFT(TEXT($A20,"0000"),4),LEFT(TEXT($A20,"000000"),4))</f>
        <v/>
      </c>
      <c r="E20" s="2">
        <f>$M$1&amp;$D20</f>
        <v/>
      </c>
      <c r="F20" s="132" t="n">
        <v>900126898</v>
      </c>
      <c r="G20" s="72" t="inlineStr">
        <is>
          <t>Ev. Dekanat Nassauer Land</t>
        </is>
      </c>
      <c r="H20" s="1" t="n"/>
      <c r="I20" s="1" t="n"/>
      <c r="J20" s="1" t="n"/>
      <c r="K20" s="71" t="n"/>
    </row>
    <row r="21">
      <c r="A21" s="131" t="n">
        <v>6849</v>
      </c>
      <c r="B21" s="72" t="inlineStr">
        <is>
          <t>Ev. Kirchengemeinde Schönborn</t>
        </is>
      </c>
      <c r="C21" s="1">
        <f>MID(B21,5,100)</f>
        <v/>
      </c>
      <c r="D21" s="2">
        <f>IF(LEN($A21)&lt;=4,LEFT(TEXT($A21,"0000"),4),LEFT(TEXT($A21,"000000"),4))</f>
        <v/>
      </c>
      <c r="E21" s="2">
        <f>$M$1&amp;$D21</f>
        <v/>
      </c>
      <c r="F21" s="132" t="n">
        <v>900126898</v>
      </c>
      <c r="G21" s="72" t="inlineStr">
        <is>
          <t>Ev. Dekanat Nassauer Land</t>
        </is>
      </c>
      <c r="H21" s="1" t="n"/>
      <c r="I21" s="1" t="n"/>
      <c r="J21" s="1" t="n"/>
      <c r="K21" s="71" t="n"/>
    </row>
    <row r="22">
      <c r="A22" s="131" t="n">
        <v>6880</v>
      </c>
      <c r="B22" s="72" t="inlineStr">
        <is>
          <t>Ev. GKG Frücht-Friedrichssegen</t>
        </is>
      </c>
      <c r="C22" s="1">
        <f>MID(B22,5,100)</f>
        <v/>
      </c>
      <c r="D22" s="2">
        <f>IF(LEN($A22)&lt;=4,LEFT(TEXT($A22,"0000"),4),LEFT(TEXT($A22,"000000"),4))</f>
        <v/>
      </c>
      <c r="E22" s="2">
        <f>$M$1&amp;$D22</f>
        <v/>
      </c>
      <c r="F22" s="132" t="n">
        <v>900126898</v>
      </c>
      <c r="G22" s="72" t="inlineStr">
        <is>
          <t>Ev. Dekanat Nassauer Land</t>
        </is>
      </c>
      <c r="H22" s="1" t="n"/>
      <c r="I22" s="1" t="n"/>
      <c r="J22" s="1" t="n"/>
      <c r="K22" s="71" t="n"/>
    </row>
    <row r="23">
      <c r="A23" s="131" t="n">
        <v>6881</v>
      </c>
      <c r="B23" s="72" t="inlineStr">
        <is>
          <t>Ev. GKG Blaues Ländchen-Loreley</t>
        </is>
      </c>
      <c r="C23" s="1">
        <f>MID(B23,5,100)</f>
        <v/>
      </c>
      <c r="D23" s="2">
        <f>IF(LEN($A23)&lt;=4,LEFT(TEXT($A23,"0000"),4),LEFT(TEXT($A23,"000000"),4))</f>
        <v/>
      </c>
      <c r="E23" s="2">
        <f>$M$1&amp;$D23</f>
        <v/>
      </c>
      <c r="F23" s="132" t="n">
        <v>900126898</v>
      </c>
      <c r="G23" s="72" t="inlineStr">
        <is>
          <t>Ev. Dekanat Nassauer Land</t>
        </is>
      </c>
      <c r="H23" s="1" t="n"/>
      <c r="I23" s="1" t="n"/>
      <c r="J23" s="1" t="n"/>
      <c r="K23" s="71" t="n"/>
    </row>
    <row r="24">
      <c r="A24" s="131" t="n">
        <v>6882</v>
      </c>
      <c r="B24" s="72" t="inlineStr">
        <is>
          <t>Ev. GKG Esterau</t>
        </is>
      </c>
      <c r="C24" s="1">
        <f>MID(B24,5,100)</f>
        <v/>
      </c>
      <c r="D24" s="2">
        <f>IF(LEN($A24)&lt;=4,LEFT(TEXT($A24,"0000"),4),LEFT(TEXT($A24,"000000"),4))</f>
        <v/>
      </c>
      <c r="E24" s="2">
        <f>$M$1&amp;$D24</f>
        <v/>
      </c>
      <c r="F24" s="132" t="n">
        <v>900126898</v>
      </c>
      <c r="G24" s="72" t="inlineStr">
        <is>
          <t>Ev. Dekanat Nassauer Land</t>
        </is>
      </c>
      <c r="H24" s="1" t="n"/>
      <c r="I24" s="1" t="n"/>
      <c r="J24" s="1" t="n"/>
      <c r="K24" s="71" t="n"/>
    </row>
    <row r="25">
      <c r="A25" s="131" t="n">
        <v>6883</v>
      </c>
      <c r="B25" s="72" t="inlineStr">
        <is>
          <t>Ev. GKG Lahn-Taunus</t>
        </is>
      </c>
      <c r="C25" s="1">
        <f>MID(B25,5,100)</f>
        <v/>
      </c>
      <c r="D25" s="2">
        <f>IF(LEN($A25)&lt;=4,LEFT(TEXT($A25,"0000"),4),LEFT(TEXT($A25,"000000"),4))</f>
        <v/>
      </c>
      <c r="E25" s="2">
        <f>$M$1&amp;$D25</f>
        <v/>
      </c>
      <c r="F25" s="132" t="n">
        <v>900126898</v>
      </c>
      <c r="G25" s="72" t="inlineStr">
        <is>
          <t>Ev. Dekanat Nassauer Land</t>
        </is>
      </c>
      <c r="H25" s="1" t="n"/>
      <c r="I25" s="1" t="n"/>
      <c r="J25" s="1" t="n"/>
      <c r="K25" s="71" t="n"/>
    </row>
    <row r="26">
      <c r="A26" s="131" t="n">
        <v>6898</v>
      </c>
      <c r="B26" s="72" t="inlineStr">
        <is>
          <t>Ev. Dekanat Nassauer Land</t>
        </is>
      </c>
      <c r="C26" s="1">
        <f>MID(B26,5,100)</f>
        <v/>
      </c>
      <c r="D26" s="2">
        <f>IF(LEN($A26)&lt;=4,LEFT(TEXT($A26,"0000"),4),LEFT(TEXT($A26,"000000"),4))</f>
        <v/>
      </c>
      <c r="E26" s="2">
        <f>$M$1&amp;$D26</f>
        <v/>
      </c>
      <c r="F26" s="132" t="n">
        <v>900126898</v>
      </c>
      <c r="G26" s="72" t="inlineStr">
        <is>
          <t>Ev. Dekanat Nassauer Land</t>
        </is>
      </c>
      <c r="H26" s="1" t="n"/>
      <c r="I26" s="1" t="n"/>
      <c r="J26" s="1" t="n"/>
      <c r="K26" s="71" t="n"/>
    </row>
    <row r="27">
      <c r="A27" s="131" t="n">
        <v>7803</v>
      </c>
      <c r="B27" s="72" t="inlineStr">
        <is>
          <t>Ev. Kirchengemeinde Hachenburger Land</t>
        </is>
      </c>
      <c r="C27" s="1">
        <f>MID(B27,5,100)</f>
        <v/>
      </c>
      <c r="D27" s="2">
        <f>IF(LEN($A27)&lt;=4,LEFT(TEXT($A27,"0000"),4),LEFT(TEXT($A27,"000000"),4))</f>
        <v/>
      </c>
      <c r="E27" s="2">
        <f>$M$1&amp;$D27</f>
        <v/>
      </c>
      <c r="F27" s="132" t="n">
        <v>900127898</v>
      </c>
      <c r="G27" s="72" t="inlineStr">
        <is>
          <t>Ev. Dekanat Westerwald</t>
        </is>
      </c>
      <c r="H27" s="1" t="n"/>
      <c r="I27" s="1" t="n"/>
      <c r="J27" s="1" t="n"/>
      <c r="K27" s="71" t="n"/>
    </row>
    <row r="28">
      <c r="A28" s="131" t="n">
        <v>7804</v>
      </c>
      <c r="B28" s="72" t="inlineStr">
        <is>
          <t>Ev. Kirchengemeinde Bad Marienberg</t>
        </is>
      </c>
      <c r="C28" s="1">
        <f>MID(B28,5,100)</f>
        <v/>
      </c>
      <c r="D28" s="2">
        <f>IF(LEN($A28)&lt;=4,LEFT(TEXT($A28,"0000"),4),LEFT(TEXT($A28,"000000"),4))</f>
        <v/>
      </c>
      <c r="E28" s="2">
        <f>$M$1&amp;$D28</f>
        <v/>
      </c>
      <c r="F28" s="132" t="n">
        <v>900127898</v>
      </c>
      <c r="G28" s="72" t="inlineStr">
        <is>
          <t>Ev. Dekanat Westerwald</t>
        </is>
      </c>
      <c r="H28" s="1" t="n"/>
      <c r="I28" s="1" t="n"/>
      <c r="J28" s="1" t="n"/>
      <c r="K28" s="71" t="n"/>
    </row>
    <row r="29">
      <c r="A29" s="131" t="n">
        <v>7806</v>
      </c>
      <c r="B29" s="72" t="inlineStr">
        <is>
          <t>Ev. Kirchengemeinde Emmerichenhain</t>
        </is>
      </c>
      <c r="C29" s="1">
        <f>MID(B29,5,100)</f>
        <v/>
      </c>
      <c r="D29" s="2">
        <f>IF(LEN($A29)&lt;=4,LEFT(TEXT($A29,"0000"),4),LEFT(TEXT($A29,"000000"),4))</f>
        <v/>
      </c>
      <c r="E29" s="2">
        <f>$M$1&amp;$D29</f>
        <v/>
      </c>
      <c r="F29" s="132" t="n">
        <v>900127898</v>
      </c>
      <c r="G29" s="72" t="inlineStr">
        <is>
          <t>Ev. Dekanat Westerwald</t>
        </is>
      </c>
      <c r="H29" s="1" t="n"/>
      <c r="I29" s="1" t="n"/>
      <c r="J29" s="1" t="n"/>
      <c r="K29" s="71" t="n"/>
    </row>
    <row r="30">
      <c r="A30" s="131" t="n">
        <v>7812</v>
      </c>
      <c r="B30" s="72" t="inlineStr">
        <is>
          <t>Ev. Kirchengemeinde Kirburg</t>
        </is>
      </c>
      <c r="C30" s="1">
        <f>MID(B30,5,100)</f>
        <v/>
      </c>
      <c r="D30" s="2">
        <f>IF(LEN($A30)&lt;=4,LEFT(TEXT($A30,"0000"),4),LEFT(TEXT($A30,"000000"),4))</f>
        <v/>
      </c>
      <c r="E30" s="2">
        <f>$M$1&amp;$D30</f>
        <v/>
      </c>
      <c r="F30" s="132" t="n">
        <v>900127898</v>
      </c>
      <c r="G30" s="72" t="inlineStr">
        <is>
          <t>Ev. Dekanat Westerwald</t>
        </is>
      </c>
      <c r="H30" s="1" t="n"/>
      <c r="I30" s="1" t="n"/>
      <c r="J30" s="1" t="n"/>
      <c r="K30" s="71" t="n"/>
    </row>
    <row r="31">
      <c r="A31" s="131" t="n">
        <v>7814</v>
      </c>
      <c r="B31" s="72" t="inlineStr">
        <is>
          <t>Ev. Kirchengemeinde Liebenscheid</t>
        </is>
      </c>
      <c r="C31" s="1">
        <f>MID(B31,5,100)</f>
        <v/>
      </c>
      <c r="D31" s="2">
        <f>IF(LEN($A31)&lt;=4,LEFT(TEXT($A31,"0000"),4),LEFT(TEXT($A31,"000000"),4))</f>
        <v/>
      </c>
      <c r="E31" s="2">
        <f>$M$1&amp;$D31</f>
        <v/>
      </c>
      <c r="F31" s="132" t="n">
        <v>900127898</v>
      </c>
      <c r="G31" s="72" t="inlineStr">
        <is>
          <t>Ev. Dekanat Westerwald</t>
        </is>
      </c>
      <c r="H31" s="1" t="n"/>
      <c r="I31" s="1" t="n"/>
      <c r="J31" s="1" t="n"/>
      <c r="K31" s="71" t="n"/>
    </row>
    <row r="32">
      <c r="A32" s="131" t="n">
        <v>7818</v>
      </c>
      <c r="B32" s="72" t="inlineStr">
        <is>
          <t>Ev. Kirchengemeinde Neukirch</t>
        </is>
      </c>
      <c r="C32" s="1">
        <f>MID(B32,5,100)</f>
        <v/>
      </c>
      <c r="D32" s="2">
        <f>IF(LEN($A32)&lt;=4,LEFT(TEXT($A32,"0000"),4),LEFT(TEXT($A32,"000000"),4))</f>
        <v/>
      </c>
      <c r="E32" s="2">
        <f>$M$1&amp;$D32</f>
        <v/>
      </c>
      <c r="F32" s="132" t="n">
        <v>900127898</v>
      </c>
      <c r="G32" s="72" t="inlineStr">
        <is>
          <t>Ev. Dekanat Westerwald</t>
        </is>
      </c>
      <c r="H32" s="1" t="n"/>
      <c r="I32" s="1" t="n"/>
      <c r="J32" s="1" t="n"/>
      <c r="K32" s="71" t="n"/>
    </row>
    <row r="33">
      <c r="A33" s="131" t="n">
        <v>7819</v>
      </c>
      <c r="B33" s="72" t="inlineStr">
        <is>
          <t>Ev. Kirchengemeinde Neunkirchen</t>
        </is>
      </c>
      <c r="C33" s="1">
        <f>MID(B33,5,100)</f>
        <v/>
      </c>
      <c r="D33" s="2">
        <f>IF(LEN($A33)&lt;=4,LEFT(TEXT($A33,"0000"),4),LEFT(TEXT($A33,"000000"),4))</f>
        <v/>
      </c>
      <c r="E33" s="2">
        <f>$M$1&amp;$D33</f>
        <v/>
      </c>
      <c r="F33" s="132" t="n">
        <v>900127898</v>
      </c>
      <c r="G33" s="72" t="inlineStr">
        <is>
          <t>Ev. Dekanat Westerwald</t>
        </is>
      </c>
      <c r="H33" s="1" t="n"/>
      <c r="I33" s="1" t="n"/>
      <c r="J33" s="1" t="n"/>
      <c r="K33" s="71" t="n"/>
    </row>
    <row r="34">
      <c r="A34" s="131" t="n">
        <v>7821</v>
      </c>
      <c r="B34" s="72" t="inlineStr">
        <is>
          <t>Ev. Kirchengemeinde Rabenscheid</t>
        </is>
      </c>
      <c r="C34" s="1">
        <f>MID(B34,5,100)</f>
        <v/>
      </c>
      <c r="D34" s="2">
        <f>IF(LEN($A34)&lt;=4,LEFT(TEXT($A34,"0000"),4),LEFT(TEXT($A34,"000000"),4))</f>
        <v/>
      </c>
      <c r="E34" s="2">
        <f>$M$1&amp;$D34</f>
        <v/>
      </c>
      <c r="F34" s="132" t="n">
        <v>900127898</v>
      </c>
      <c r="G34" s="72" t="inlineStr">
        <is>
          <t>Ev. Dekanat Westerwald</t>
        </is>
      </c>
      <c r="H34" s="1" t="n"/>
      <c r="I34" s="1" t="n"/>
      <c r="J34" s="1" t="n"/>
      <c r="K34" s="71" t="n"/>
    </row>
    <row r="35">
      <c r="A35" s="131" t="n">
        <v>7823</v>
      </c>
      <c r="B35" s="72" t="inlineStr">
        <is>
          <t>Ev. Kirchengemeinde Rennerod</t>
        </is>
      </c>
      <c r="C35" s="1">
        <f>MID(B35,5,100)</f>
        <v/>
      </c>
      <c r="D35" s="2">
        <f>IF(LEN($A35)&lt;=4,LEFT(TEXT($A35,"0000"),4),LEFT(TEXT($A35,"000000"),4))</f>
        <v/>
      </c>
      <c r="E35" s="2">
        <f>$M$1&amp;$D35</f>
        <v/>
      </c>
      <c r="F35" s="132" t="n">
        <v>900127898</v>
      </c>
      <c r="G35" s="72" t="inlineStr">
        <is>
          <t>Ev. Dekanat Westerwald</t>
        </is>
      </c>
      <c r="H35" s="1" t="n"/>
      <c r="I35" s="1" t="n"/>
      <c r="J35" s="1" t="n"/>
      <c r="K35" s="71" t="n"/>
    </row>
    <row r="36">
      <c r="A36" s="131" t="n">
        <v>7826</v>
      </c>
      <c r="B36" s="72" t="inlineStr">
        <is>
          <t>Ev. Kirchengemeinde Unnau</t>
        </is>
      </c>
      <c r="C36" s="1">
        <f>MID(B36,5,100)</f>
        <v/>
      </c>
      <c r="D36" s="2">
        <f>IF(LEN($A36)&lt;=4,LEFT(TEXT($A36,"0000"),4),LEFT(TEXT($A36,"000000"),4))</f>
        <v/>
      </c>
      <c r="E36" s="2">
        <f>$M$1&amp;$D36</f>
        <v/>
      </c>
      <c r="F36" s="132" t="n">
        <v>900127898</v>
      </c>
      <c r="G36" s="72" t="inlineStr">
        <is>
          <t>Ev. Dekanat Westerwald</t>
        </is>
      </c>
      <c r="H36" s="1" t="n"/>
      <c r="I36" s="1" t="n"/>
      <c r="J36" s="1" t="n"/>
      <c r="K36" s="71" t="n"/>
    </row>
    <row r="37">
      <c r="A37" s="131" t="n">
        <v>7833</v>
      </c>
      <c r="B37" s="72" t="inlineStr">
        <is>
          <t>Ev. Christusgemeinde Sayn-Wied Westerwald</t>
        </is>
      </c>
      <c r="C37" s="1">
        <f>MID(B37,5,100)</f>
        <v/>
      </c>
      <c r="D37" s="2">
        <f>IF(LEN($A37)&lt;=4,LEFT(TEXT($A37,"0000"),4),LEFT(TEXT($A37,"000000"),4))</f>
        <v/>
      </c>
      <c r="E37" s="2">
        <f>$M$1&amp;$D37</f>
        <v/>
      </c>
      <c r="F37" s="132" t="n">
        <v>900127898</v>
      </c>
      <c r="G37" s="72" t="inlineStr">
        <is>
          <t>Ev. Dekanat Westerwald</t>
        </is>
      </c>
      <c r="H37" s="1" t="n"/>
      <c r="I37" s="1" t="n"/>
      <c r="J37" s="1" t="n"/>
      <c r="K37" s="71" t="n"/>
    </row>
    <row r="38">
      <c r="A38" s="131" t="n">
        <v>7834</v>
      </c>
      <c r="B38" s="72" t="inlineStr">
        <is>
          <t>Ev. Kirchengemeinde Wäller Land</t>
        </is>
      </c>
      <c r="C38" s="1">
        <f>MID(B38,5,100)</f>
        <v/>
      </c>
      <c r="D38" s="2">
        <f>IF(LEN($A38)&lt;=4,LEFT(TEXT($A38,"0000"),4),LEFT(TEXT($A38,"000000"),4))</f>
        <v/>
      </c>
      <c r="E38" s="2">
        <f>$M$1&amp;$D38</f>
        <v/>
      </c>
      <c r="F38" s="132" t="n">
        <v>900127898</v>
      </c>
      <c r="G38" s="72" t="inlineStr">
        <is>
          <t>Ev. Dekanat Westerwald</t>
        </is>
      </c>
      <c r="H38" s="1" t="n"/>
      <c r="I38" s="1" t="n"/>
      <c r="J38" s="1" t="n"/>
      <c r="K38" s="71" t="n"/>
    </row>
    <row r="39">
      <c r="A39" s="131" t="n">
        <v>7882</v>
      </c>
      <c r="B39" s="72" t="inlineStr">
        <is>
          <t>Ev. GKG Westerwald Süd</t>
        </is>
      </c>
      <c r="C39" s="1">
        <f>MID(B39,5,100)</f>
        <v/>
      </c>
      <c r="D39" s="2">
        <f>IF(LEN($A39)&lt;=4,LEFT(TEXT($A39,"0000"),4),LEFT(TEXT($A39,"000000"),4))</f>
        <v/>
      </c>
      <c r="E39" s="2">
        <f>$M$1&amp;$D39</f>
        <v/>
      </c>
      <c r="F39" s="132" t="n">
        <v>900127898</v>
      </c>
      <c r="G39" s="72" t="inlineStr">
        <is>
          <t>Ev. Dekanat Westerwald</t>
        </is>
      </c>
      <c r="H39" s="1" t="n"/>
      <c r="I39" s="1" t="n"/>
      <c r="J39" s="1" t="n"/>
      <c r="K39" s="71" t="n"/>
    </row>
    <row r="40">
      <c r="A40" s="131" t="n">
        <v>7898</v>
      </c>
      <c r="B40" s="72" t="inlineStr">
        <is>
          <t>Ev. Dekanat Westerwald</t>
        </is>
      </c>
      <c r="C40" s="1">
        <f>MID(B40,5,100)</f>
        <v/>
      </c>
      <c r="D40" s="2">
        <f>IF(LEN($A40)&lt;=4,LEFT(TEXT($A40,"0000"),4),LEFT(TEXT($A40,"000000"),4))</f>
        <v/>
      </c>
      <c r="E40" s="2">
        <f>$M$1&amp;$D40</f>
        <v/>
      </c>
      <c r="F40" s="132" t="n">
        <v>900127898</v>
      </c>
      <c r="G40" s="72" t="inlineStr">
        <is>
          <t>Ev. Dekanat Westerwald</t>
        </is>
      </c>
      <c r="H40" s="1" t="n"/>
      <c r="I40" s="1" t="n"/>
      <c r="J40" s="1" t="n"/>
      <c r="K40" s="71" t="n"/>
    </row>
    <row r="41">
      <c r="A41" s="131" t="n">
        <v>9901</v>
      </c>
      <c r="B41" s="72" t="inlineStr">
        <is>
          <t>Diez St. Peter - Stiftung Geben heißt Leben</t>
        </is>
      </c>
      <c r="C41" s="1">
        <f>B41</f>
        <v/>
      </c>
      <c r="D41" s="2">
        <f>IF(LEN($A41)&lt;=4,LEFT(TEXT($A41,"0000"),4),LEFT(TEXT($A41,"000000"),4))</f>
        <v/>
      </c>
      <c r="E41" s="2">
        <f>$M$1&amp;$D41</f>
        <v/>
      </c>
      <c r="F41" s="132" t="n"/>
      <c r="G41" s="72" t="n"/>
      <c r="H41" s="1" t="n"/>
      <c r="I41" s="1" t="n"/>
      <c r="J41" s="1" t="n"/>
      <c r="K41" s="71" t="n"/>
    </row>
    <row r="42">
      <c r="A42" s="131" t="n">
        <v>9902</v>
      </c>
      <c r="B42" s="72" t="inlineStr">
        <is>
          <t>Braubach - Stiftung Gute Saat</t>
        </is>
      </c>
      <c r="C42" s="1">
        <f>B42</f>
        <v/>
      </c>
      <c r="D42" s="2">
        <f>IF(LEN($A42)&lt;=4,LEFT(TEXT($A42,"0000"),4),LEFT(TEXT($A42,"000000"),4))</f>
        <v/>
      </c>
      <c r="E42" s="2">
        <f>$M$1&amp;$D42</f>
        <v/>
      </c>
      <c r="F42" s="132" t="n"/>
      <c r="G42" s="72" t="n"/>
      <c r="H42" s="1" t="n"/>
      <c r="I42" s="1" t="n"/>
      <c r="J42" s="1" t="n"/>
      <c r="K42" s="71" t="n"/>
    </row>
    <row r="43">
      <c r="A43" s="131" t="n">
        <v>9903</v>
      </c>
      <c r="B43" s="72" t="inlineStr">
        <is>
          <t>Friedland - Gemeinde-Stiftung</t>
        </is>
      </c>
      <c r="C43" s="1">
        <f>B43</f>
        <v/>
      </c>
      <c r="D43" s="2">
        <f>IF(LEN($A43)&lt;=4,LEFT(TEXT($A43,"0000"),4),LEFT(TEXT($A43,"000000"),4))</f>
        <v/>
      </c>
      <c r="E43" s="2">
        <f>$M$1&amp;$D43</f>
        <v/>
      </c>
      <c r="F43" s="132" t="n"/>
      <c r="G43" s="72" t="n"/>
      <c r="H43" s="1" t="n"/>
      <c r="I43" s="1" t="n"/>
      <c r="J43" s="1" t="n"/>
      <c r="K43" s="71" t="n"/>
    </row>
    <row r="44">
      <c r="A44" s="131" t="n">
        <v>9904</v>
      </c>
      <c r="B44" s="72" t="inlineStr">
        <is>
          <t>Oberlahnstein - Gemeinde-Stiftung</t>
        </is>
      </c>
      <c r="C44" s="1">
        <f>B44</f>
        <v/>
      </c>
      <c r="D44" s="2">
        <f>IF(LEN($A44)&lt;=4,LEFT(TEXT($A44,"0000"),4),LEFT(TEXT($A44,"000000"),4))</f>
        <v/>
      </c>
      <c r="E44" s="2">
        <f>$M$1&amp;$D44</f>
        <v/>
      </c>
      <c r="F44" s="132" t="n"/>
      <c r="G44" s="72" t="n"/>
      <c r="H44" s="1" t="n"/>
      <c r="I44" s="1" t="n"/>
      <c r="J44" s="1" t="n"/>
      <c r="K44" s="71" t="n"/>
    </row>
    <row r="45">
      <c r="A45" s="131" t="n">
        <v>9905</v>
      </c>
      <c r="B45" s="72" t="inlineStr">
        <is>
          <t>Ruppertshofen - Stiftung Treuhandfonds</t>
        </is>
      </c>
      <c r="C45" s="1">
        <f>B45</f>
        <v/>
      </c>
      <c r="D45" s="2">
        <f>IF(LEN($A45)&lt;=4,LEFT(TEXT($A45,"0000"),4),LEFT(TEXT($A45,"000000"),4))</f>
        <v/>
      </c>
      <c r="E45" s="2">
        <f>$M$1&amp;$D45</f>
        <v/>
      </c>
      <c r="F45" s="132" t="n"/>
      <c r="G45" s="72" t="n"/>
      <c r="H45" s="1" t="n"/>
      <c r="I45" s="1" t="n"/>
      <c r="J45" s="1" t="n"/>
      <c r="K45" s="71" t="n"/>
    </row>
    <row r="46">
      <c r="A46" s="131" t="n">
        <v>9906</v>
      </c>
      <c r="B46" s="72" t="inlineStr">
        <is>
          <t>Cramberg - Stiftung Landesarmen-Commission</t>
        </is>
      </c>
      <c r="C46" s="1">
        <f>B46</f>
        <v/>
      </c>
      <c r="D46" s="2">
        <f>IF(LEN($A46)&lt;=4,LEFT(TEXT($A46,"0000"),4),LEFT(TEXT($A46,"000000"),4))</f>
        <v/>
      </c>
      <c r="E46" s="2">
        <f>$M$1&amp;$D46</f>
        <v/>
      </c>
      <c r="F46" s="132" t="n"/>
      <c r="G46" s="72" t="n"/>
      <c r="H46" s="1" t="n"/>
      <c r="I46" s="1" t="n"/>
      <c r="J46" s="1" t="n"/>
      <c r="K46" s="71" t="n"/>
    </row>
    <row r="47">
      <c r="A47" s="131" t="n">
        <v>9907</v>
      </c>
      <c r="B47" s="72" t="inlineStr">
        <is>
          <t>Westerburg - Friedrich Konrad und Johanna Keiner-Stiftung</t>
        </is>
      </c>
      <c r="C47" s="1">
        <f>B47</f>
        <v/>
      </c>
      <c r="D47" s="2">
        <f>IF(LEN($A47)&lt;=4,LEFT(TEXT($A47,"0000"),4),LEFT(TEXT($A47,"000000"),4))</f>
        <v/>
      </c>
      <c r="E47" s="2">
        <f>$M$1&amp;$D47</f>
        <v/>
      </c>
      <c r="F47" s="132" t="n"/>
      <c r="G47" s="72" t="n"/>
      <c r="H47" s="1" t="n"/>
      <c r="I47" s="1" t="n"/>
      <c r="J47" s="1" t="n"/>
      <c r="K47" s="71" t="n"/>
    </row>
    <row r="48">
      <c r="A48" s="131" t="n">
        <v>9908</v>
      </c>
      <c r="B48" s="72" t="inlineStr">
        <is>
          <t>Ev. Jugendheim Dreifelden</t>
        </is>
      </c>
      <c r="C48" s="1">
        <f>B48</f>
        <v/>
      </c>
      <c r="D48" s="2">
        <f>IF(LEN($A48)&lt;=4,LEFT(TEXT($A48,"0000"),4),LEFT(TEXT($A48,"000000"),4))</f>
        <v/>
      </c>
      <c r="E48" s="2">
        <f>$M$1&amp;$D48</f>
        <v/>
      </c>
      <c r="F48" s="132" t="n"/>
      <c r="G48" s="72" t="n"/>
      <c r="H48" s="1" t="n"/>
      <c r="I48" s="1" t="n"/>
      <c r="J48" s="1" t="n"/>
      <c r="K48" s="71" t="n"/>
    </row>
    <row r="49">
      <c r="A49" s="131" t="n">
        <v>9909</v>
      </c>
      <c r="B49" s="72" t="inlineStr">
        <is>
          <t>Küsterbund</t>
        </is>
      </c>
      <c r="C49" s="1">
        <f>B49</f>
        <v/>
      </c>
      <c r="D49" s="2">
        <f>IF(LEN($A49)&lt;=4,LEFT(TEXT($A49,"0000"),4),LEFT(TEXT($A49,"000000"),4))</f>
        <v/>
      </c>
      <c r="E49" s="2">
        <f>$M$1&amp;$D49</f>
        <v/>
      </c>
      <c r="F49" s="132" t="n"/>
      <c r="G49" s="72" t="n"/>
      <c r="H49" s="1" t="n"/>
      <c r="I49" s="1" t="n"/>
      <c r="J49" s="1" t="n"/>
      <c r="K49" s="71" t="n"/>
    </row>
    <row r="50">
      <c r="A50" s="131" t="n">
        <v>681101</v>
      </c>
      <c r="B50" s="72" t="inlineStr">
        <is>
          <t>Ev. Integrative Kita Altendiez</t>
        </is>
      </c>
      <c r="C50" s="1">
        <f>MID(B50,5,100)</f>
        <v/>
      </c>
      <c r="D50" s="2">
        <f>IF(LEN($A50)&lt;=4,LEFT(TEXT($A50,"0000"),4),LEFT(TEXT($A50,"000000"),4))</f>
        <v/>
      </c>
      <c r="E50" s="2">
        <f>$M$1&amp;$D50</f>
        <v/>
      </c>
      <c r="F50" s="132" t="n">
        <v>900126898</v>
      </c>
      <c r="G50" s="72" t="inlineStr">
        <is>
          <t>Ev. Dekanat Nassauer Land</t>
        </is>
      </c>
      <c r="H50" s="1" t="n"/>
      <c r="I50" s="1" t="n"/>
      <c r="J50" s="1" t="n"/>
      <c r="K50" s="71" t="n"/>
    </row>
    <row r="51">
      <c r="A51" s="131" t="n">
        <v>681102</v>
      </c>
      <c r="B51" s="72" t="inlineStr">
        <is>
          <t>Ev. KiTa Gückingen</t>
        </is>
      </c>
      <c r="C51" s="1">
        <f>MID(B51,5,100)</f>
        <v/>
      </c>
      <c r="D51" s="2">
        <f>IF(LEN($A51)&lt;=4,LEFT(TEXT($A51,"0000"),4),LEFT(TEXT($A51,"000000"),4))</f>
        <v/>
      </c>
      <c r="E51" s="2">
        <f>$M$1&amp;$D51</f>
        <v/>
      </c>
      <c r="F51" s="132" t="n">
        <v>900126898</v>
      </c>
      <c r="G51" s="72" t="inlineStr">
        <is>
          <t>Ev. Dekanat Nassauer Land</t>
        </is>
      </c>
      <c r="H51" s="1" t="n"/>
      <c r="I51" s="1" t="n"/>
      <c r="J51" s="1" t="n"/>
      <c r="K51" s="71" t="n"/>
    </row>
    <row r="52">
      <c r="A52" s="131" t="n">
        <v>681103</v>
      </c>
      <c r="B52" s="72" t="inlineStr">
        <is>
          <t>Ev. KiTa Unterm Klangbaum Heistenbach</t>
        </is>
      </c>
      <c r="C52" s="1">
        <f>MID(B52,5,100)</f>
        <v/>
      </c>
      <c r="D52" s="2">
        <f>IF(LEN($A52)&lt;=4,LEFT(TEXT($A52,"0000"),4),LEFT(TEXT($A52,"000000"),4))</f>
        <v/>
      </c>
      <c r="E52" s="2">
        <f>$M$1&amp;$D52</f>
        <v/>
      </c>
      <c r="F52" s="132" t="n">
        <v>900126898</v>
      </c>
      <c r="G52" s="72" t="inlineStr">
        <is>
          <t>Ev. Dekanat Nassauer Land</t>
        </is>
      </c>
      <c r="H52" s="1" t="n"/>
      <c r="I52" s="1" t="n"/>
      <c r="J52" s="1" t="n"/>
      <c r="K52" s="71" t="n"/>
    </row>
    <row r="53">
      <c r="A53" s="131" t="n">
        <v>681104</v>
      </c>
      <c r="B53" s="72" t="inlineStr">
        <is>
          <t>Ev. Hort Altendiez</t>
        </is>
      </c>
      <c r="C53" s="1">
        <f>MID(B53,5,100)</f>
        <v/>
      </c>
      <c r="D53" s="2">
        <f>IF(LEN($A53)&lt;=4,LEFT(TEXT($A53,"0000"),4),LEFT(TEXT($A53,"000000"),4))</f>
        <v/>
      </c>
      <c r="E53" s="2">
        <f>$M$1&amp;$D53</f>
        <v/>
      </c>
      <c r="F53" s="132" t="n">
        <v>900126898</v>
      </c>
      <c r="G53" s="72" t="inlineStr">
        <is>
          <t>Ev. Dekanat Nassauer Land</t>
        </is>
      </c>
      <c r="H53" s="1" t="n"/>
      <c r="I53" s="1" t="n"/>
      <c r="J53" s="1" t="n"/>
      <c r="K53" s="71" t="n"/>
    </row>
    <row r="54">
      <c r="A54" s="131" t="n">
        <v>681105</v>
      </c>
      <c r="B54" s="72" t="inlineStr">
        <is>
          <t>Ev. KiTa Am Schlossberg Diez</t>
        </is>
      </c>
      <c r="C54" s="1">
        <f>MID(B54,5,100)</f>
        <v/>
      </c>
      <c r="D54" s="2">
        <f>IF(LEN($A54)&lt;=4,LEFT(TEXT($A54,"0000"),4),LEFT(TEXT($A54,"000000"),4))</f>
        <v/>
      </c>
      <c r="E54" s="2">
        <f>$M$1&amp;$D54</f>
        <v/>
      </c>
      <c r="F54" s="132" t="n">
        <v>900126898</v>
      </c>
      <c r="G54" s="72" t="inlineStr">
        <is>
          <t>Ev. Dekanat Nassauer Land</t>
        </is>
      </c>
      <c r="H54" s="1" t="n"/>
      <c r="I54" s="1" t="n"/>
      <c r="J54" s="1" t="n"/>
      <c r="K54" s="71" t="n"/>
    </row>
    <row r="55">
      <c r="A55" s="131" t="n">
        <v>681106</v>
      </c>
      <c r="B55" s="72" t="inlineStr">
        <is>
          <t>Ev. KiTa Purzelbaum Birlenbach</t>
        </is>
      </c>
      <c r="C55" s="1">
        <f>MID(B55,5,100)</f>
        <v/>
      </c>
      <c r="D55" s="2">
        <f>IF(LEN($A55)&lt;=4,LEFT(TEXT($A55,"0000"),4),LEFT(TEXT($A55,"000000"),4))</f>
        <v/>
      </c>
      <c r="E55" s="2">
        <f>$M$1&amp;$D55</f>
        <v/>
      </c>
      <c r="F55" s="132" t="n">
        <v>900126898</v>
      </c>
      <c r="G55" s="72" t="inlineStr">
        <is>
          <t>Ev. Dekanat Nassauer Land</t>
        </is>
      </c>
      <c r="H55" s="1" t="n"/>
      <c r="I55" s="1" t="n"/>
      <c r="J55" s="1" t="n"/>
      <c r="K55" s="71" t="n"/>
    </row>
    <row r="56">
      <c r="A56" s="131" t="n">
        <v>681107</v>
      </c>
      <c r="B56" s="72" t="inlineStr">
        <is>
          <t>Ev. KiTa Kinderhafen Diez</t>
        </is>
      </c>
      <c r="C56" s="1">
        <f>MID(B56,5,100)</f>
        <v/>
      </c>
      <c r="D56" s="2">
        <f>IF(LEN($A56)&lt;=4,LEFT(TEXT($A56,"0000"),4),LEFT(TEXT($A56,"000000"),4))</f>
        <v/>
      </c>
      <c r="E56" s="2">
        <f>$M$1&amp;$D56</f>
        <v/>
      </c>
      <c r="F56" s="132" t="n">
        <v>900126898</v>
      </c>
      <c r="G56" s="72" t="inlineStr">
        <is>
          <t>Ev. Dekanat Nassauer Land</t>
        </is>
      </c>
      <c r="H56" s="1" t="n"/>
      <c r="I56" s="1" t="n"/>
      <c r="J56" s="1" t="n"/>
      <c r="K56" s="71" t="n"/>
    </row>
    <row r="57">
      <c r="A57" s="131" t="n">
        <v>681108</v>
      </c>
      <c r="B57" s="72" t="inlineStr">
        <is>
          <t>Ev. KiTa Am Hexenberg Diez</t>
        </is>
      </c>
      <c r="C57" s="1">
        <f>MID(B57,5,100)</f>
        <v/>
      </c>
      <c r="D57" s="2">
        <f>IF(LEN($A57)&lt;=4,LEFT(TEXT($A57,"0000"),4),LEFT(TEXT($A57,"000000"),4))</f>
        <v/>
      </c>
      <c r="E57" s="2">
        <f>$M$1&amp;$D57</f>
        <v/>
      </c>
      <c r="F57" s="132" t="n">
        <v>900126898</v>
      </c>
      <c r="G57" s="72" t="inlineStr">
        <is>
          <t>Ev. Dekanat Nassauer Land</t>
        </is>
      </c>
      <c r="H57" s="1" t="n"/>
      <c r="I57" s="1" t="n"/>
      <c r="J57" s="1" t="n"/>
      <c r="K57" s="71" t="n"/>
    </row>
    <row r="58">
      <c r="A58" s="131" t="n">
        <v>681109</v>
      </c>
      <c r="B58" s="72" t="inlineStr">
        <is>
          <t>Ev. KiTa Hohe Straße Diez</t>
        </is>
      </c>
      <c r="C58" s="1">
        <f>MID(B58,5,100)</f>
        <v/>
      </c>
      <c r="D58" s="2">
        <f>IF(LEN($A58)&lt;=4,LEFT(TEXT($A58,"0000"),4),LEFT(TEXT($A58,"000000"),4))</f>
        <v/>
      </c>
      <c r="E58" s="2">
        <f>$M$1&amp;$D58</f>
        <v/>
      </c>
      <c r="F58" s="132" t="n">
        <v>900126898</v>
      </c>
      <c r="G58" s="72" t="inlineStr">
        <is>
          <t>Ev. Dekanat Nassauer Land</t>
        </is>
      </c>
      <c r="H58" s="1" t="n"/>
      <c r="I58" s="1" t="n"/>
      <c r="J58" s="1" t="n"/>
      <c r="K58" s="71" t="n"/>
    </row>
    <row r="59">
      <c r="A59" s="131" t="n">
        <v>689801</v>
      </c>
      <c r="B59" s="72" t="inlineStr">
        <is>
          <t>Ev. KiTa Arche Noah Bad Ems</t>
        </is>
      </c>
      <c r="C59" s="1">
        <f>MID(B59,5,100)</f>
        <v/>
      </c>
      <c r="D59" s="2">
        <f>IF(LEN($A59)&lt;=4,LEFT(TEXT($A59,"0000"),4),LEFT(TEXT($A59,"000000"),4))</f>
        <v/>
      </c>
      <c r="E59" s="2">
        <f>$M$1&amp;$D59</f>
        <v/>
      </c>
      <c r="F59" s="132" t="n">
        <v>900126898</v>
      </c>
      <c r="G59" s="72" t="inlineStr">
        <is>
          <t>Ev. Dekanat Nassauer Land</t>
        </is>
      </c>
      <c r="H59" s="1" t="n"/>
      <c r="I59" s="1" t="n"/>
      <c r="J59" s="1" t="n"/>
      <c r="K59" s="71" t="n"/>
    </row>
    <row r="60">
      <c r="A60" s="131" t="n">
        <v>689802</v>
      </c>
      <c r="B60" s="72" t="inlineStr">
        <is>
          <t>Ev. KiTa Haus des Kindes Braubach</t>
        </is>
      </c>
      <c r="C60" s="1">
        <f>MID(B60,5,100)</f>
        <v/>
      </c>
      <c r="D60" s="2">
        <f>IF(LEN($A60)&lt;=4,LEFT(TEXT($A60,"0000"),4),LEFT(TEXT($A60,"000000"),4))</f>
        <v/>
      </c>
      <c r="E60" s="2">
        <f>$M$1&amp;$D60</f>
        <v/>
      </c>
      <c r="F60" s="132" t="n">
        <v>900126898</v>
      </c>
      <c r="G60" s="72" t="inlineStr">
        <is>
          <t>Ev. Dekanat Nassauer Land</t>
        </is>
      </c>
      <c r="H60" s="1" t="n"/>
      <c r="I60" s="1" t="n"/>
      <c r="J60" s="1" t="n"/>
      <c r="K60" s="71" t="n"/>
    </row>
    <row r="61">
      <c r="A61" s="131" t="n">
        <v>689803</v>
      </c>
      <c r="B61" s="72" t="inlineStr">
        <is>
          <t>Ev. KiTa Salto Vitale Burgschwalbach</t>
        </is>
      </c>
      <c r="C61" s="1">
        <f>MID(B61,5,100)</f>
        <v/>
      </c>
      <c r="D61" s="2">
        <f>IF(LEN($A61)&lt;=4,LEFT(TEXT($A61,"0000"),4),LEFT(TEXT($A61,"000000"),4))</f>
        <v/>
      </c>
      <c r="E61" s="2">
        <f>$M$1&amp;$D61</f>
        <v/>
      </c>
      <c r="F61" s="132" t="n">
        <v>900126898</v>
      </c>
      <c r="G61" s="72" t="inlineStr">
        <is>
          <t>Ev. Dekanat Nassauer Land</t>
        </is>
      </c>
      <c r="H61" s="1" t="n"/>
      <c r="I61" s="1" t="n"/>
      <c r="J61" s="1" t="n"/>
      <c r="K61" s="71" t="n"/>
    </row>
    <row r="62">
      <c r="A62" s="131" t="n">
        <v>689804</v>
      </c>
      <c r="B62" s="72" t="inlineStr">
        <is>
          <t>Ev. KiTa Unterm Sternenzelt Flacht</t>
        </is>
      </c>
      <c r="C62" s="1">
        <f>MID(B62,5,100)</f>
        <v/>
      </c>
      <c r="D62" s="2">
        <f>IF(LEN($A62)&lt;=4,LEFT(TEXT($A62,"0000"),4),LEFT(TEXT($A62,"000000"),4))</f>
        <v/>
      </c>
      <c r="E62" s="2">
        <f>$M$1&amp;$D62</f>
        <v/>
      </c>
      <c r="F62" s="132" t="n">
        <v>900126898</v>
      </c>
      <c r="G62" s="72" t="inlineStr">
        <is>
          <t>Ev. Dekanat Nassauer Land</t>
        </is>
      </c>
      <c r="H62" s="1" t="n"/>
      <c r="I62" s="1" t="n"/>
      <c r="J62" s="1" t="n"/>
      <c r="K62" s="71" t="n"/>
    </row>
    <row r="63">
      <c r="A63" s="131" t="n">
        <v>689805</v>
      </c>
      <c r="B63" s="72" t="inlineStr">
        <is>
          <t>Ev. KiTa Unterm Regenbogen Niederneisen</t>
        </is>
      </c>
      <c r="C63" s="1">
        <f>MID(B63,5,100)</f>
        <v/>
      </c>
      <c r="D63" s="2">
        <f>IF(LEN($A63)&lt;=4,LEFT(TEXT($A63,"0000"),4),LEFT(TEXT($A63,"000000"),4))</f>
        <v/>
      </c>
      <c r="E63" s="2">
        <f>$M$1&amp;$D63</f>
        <v/>
      </c>
      <c r="F63" s="132" t="n">
        <v>900126898</v>
      </c>
      <c r="G63" s="72" t="inlineStr">
        <is>
          <t>Ev. Dekanat Nassauer Land</t>
        </is>
      </c>
      <c r="H63" s="1" t="n"/>
      <c r="I63" s="1" t="n"/>
      <c r="J63" s="1" t="n"/>
      <c r="K63" s="71" t="n"/>
    </row>
    <row r="64">
      <c r="A64" s="131" t="n">
        <v>689806</v>
      </c>
      <c r="B64" s="72" t="inlineStr">
        <is>
          <t>Ev. KiTa Frücht</t>
        </is>
      </c>
      <c r="C64" s="1">
        <f>MID(B64,5,100)</f>
        <v/>
      </c>
      <c r="D64" s="2">
        <f>IF(LEN($A64)&lt;=4,LEFT(TEXT($A64,"0000"),4),LEFT(TEXT($A64,"000000"),4))</f>
        <v/>
      </c>
      <c r="E64" s="2">
        <f>$M$1&amp;$D64</f>
        <v/>
      </c>
      <c r="F64" s="132" t="n">
        <v>900126898</v>
      </c>
      <c r="G64" s="72" t="inlineStr">
        <is>
          <t>Ev. Dekanat Nassauer Land</t>
        </is>
      </c>
      <c r="H64" s="1" t="n"/>
      <c r="I64" s="1" t="n"/>
      <c r="J64" s="1" t="n"/>
      <c r="K64" s="71" t="n"/>
    </row>
    <row r="65">
      <c r="A65" s="131" t="n">
        <v>689807</v>
      </c>
      <c r="B65" s="72" t="inlineStr">
        <is>
          <t>Ev. KiTa Pusteblume Hahnstätten</t>
        </is>
      </c>
      <c r="C65" s="1">
        <f>MID(B65,5,100)</f>
        <v/>
      </c>
      <c r="D65" s="2">
        <f>IF(LEN($A65)&lt;=4,LEFT(TEXT($A65,"0000"),4),LEFT(TEXT($A65,"000000"),4))</f>
        <v/>
      </c>
      <c r="E65" s="2">
        <f>$M$1&amp;$D65</f>
        <v/>
      </c>
      <c r="F65" s="132" t="n">
        <v>900126898</v>
      </c>
      <c r="G65" s="72" t="inlineStr">
        <is>
          <t>Ev. Dekanat Nassauer Land</t>
        </is>
      </c>
      <c r="H65" s="1" t="n"/>
      <c r="I65" s="1" t="n"/>
      <c r="J65" s="1" t="n"/>
      <c r="K65" s="71" t="n"/>
    </row>
    <row r="66">
      <c r="A66" s="131" t="n">
        <v>689808</v>
      </c>
      <c r="B66" s="72" t="inlineStr">
        <is>
          <t>Ev. KiTa Zwergenland Hahnstätten</t>
        </is>
      </c>
      <c r="C66" s="1">
        <f>MID(B66,5,100)</f>
        <v/>
      </c>
      <c r="D66" s="2">
        <f>IF(LEN($A66)&lt;=4,LEFT(TEXT($A66,"0000"),4),LEFT(TEXT($A66,"000000"),4))</f>
        <v/>
      </c>
      <c r="E66" s="2">
        <f>$M$1&amp;$D66</f>
        <v/>
      </c>
      <c r="F66" s="132" t="n">
        <v>900126898</v>
      </c>
      <c r="G66" s="72" t="inlineStr">
        <is>
          <t>Ev. Dekanat Nassauer Land</t>
        </is>
      </c>
      <c r="H66" s="1" t="n"/>
      <c r="I66" s="1" t="n"/>
      <c r="J66" s="1" t="n"/>
      <c r="K66" s="71" t="n"/>
    </row>
    <row r="67">
      <c r="A67" s="131" t="n">
        <v>689809</v>
      </c>
      <c r="B67" s="72" t="inlineStr">
        <is>
          <t>Ev. KiTa Holzappel</t>
        </is>
      </c>
      <c r="C67" s="1">
        <f>MID(B67,5,100)</f>
        <v/>
      </c>
      <c r="D67" s="2">
        <f>IF(LEN($A67)&lt;=4,LEFT(TEXT($A67,"0000"),4),LEFT(TEXT($A67,"000000"),4))</f>
        <v/>
      </c>
      <c r="E67" s="2">
        <f>$M$1&amp;$D67</f>
        <v/>
      </c>
      <c r="F67" s="132" t="n">
        <v>900126898</v>
      </c>
      <c r="G67" s="72" t="inlineStr">
        <is>
          <t>Ev. Dekanat Nassauer Land</t>
        </is>
      </c>
      <c r="H67" s="1" t="n"/>
      <c r="I67" s="1" t="n"/>
      <c r="J67" s="1" t="n"/>
      <c r="K67" s="71" t="n"/>
    </row>
    <row r="68">
      <c r="A68" s="131" t="n">
        <v>689810</v>
      </c>
      <c r="B68" s="72" t="inlineStr">
        <is>
          <t>Ev. Kinderhaus Sonnenschein Kaub</t>
        </is>
      </c>
      <c r="C68" s="1">
        <f>MID(B68,5,100)</f>
        <v/>
      </c>
      <c r="D68" s="2">
        <f>IF(LEN($A68)&lt;=4,LEFT(TEXT($A68,"0000"),4),LEFT(TEXT($A68,"000000"),4))</f>
        <v/>
      </c>
      <c r="E68" s="2">
        <f>$M$1&amp;$D68</f>
        <v/>
      </c>
      <c r="F68" s="132" t="n">
        <v>900126898</v>
      </c>
      <c r="G68" s="72" t="inlineStr">
        <is>
          <t>Ev. Dekanat Nassauer Land</t>
        </is>
      </c>
      <c r="H68" s="1" t="n"/>
      <c r="I68" s="1" t="n"/>
      <c r="J68" s="1" t="n"/>
      <c r="K68" s="71" t="n"/>
    </row>
    <row r="69">
      <c r="A69" s="131" t="n">
        <v>689811</v>
      </c>
      <c r="B69" s="72" t="inlineStr">
        <is>
          <t>Ev. KiTa Garten für Kinder Katzenelnbogen</t>
        </is>
      </c>
      <c r="C69" s="1">
        <f>MID(B69,5,100)</f>
        <v/>
      </c>
      <c r="D69" s="2">
        <f>IF(LEN($A69)&lt;=4,LEFT(TEXT($A69,"0000"),4),LEFT(TEXT($A69,"000000"),4))</f>
        <v/>
      </c>
      <c r="E69" s="2">
        <f>$M$1&amp;$D69</f>
        <v/>
      </c>
      <c r="F69" s="132" t="n">
        <v>900126898</v>
      </c>
      <c r="G69" s="72" t="inlineStr">
        <is>
          <t>Ev. Dekanat Nassauer Land</t>
        </is>
      </c>
      <c r="H69" s="1" t="n"/>
      <c r="I69" s="1" t="n"/>
      <c r="J69" s="1" t="n"/>
      <c r="K69" s="71" t="n"/>
    </row>
    <row r="70">
      <c r="A70" s="131" t="n">
        <v>689812</v>
      </c>
      <c r="B70" s="72" t="inlineStr">
        <is>
          <t>Ev. KiTa Rasselbande Weyer</t>
        </is>
      </c>
      <c r="C70" s="1">
        <f>MID(B70,5,100)</f>
        <v/>
      </c>
      <c r="D70" s="2">
        <f>IF(LEN($A70)&lt;=4,LEFT(TEXT($A70,"0000"),4),LEFT(TEXT($A70,"000000"),4))</f>
        <v/>
      </c>
      <c r="E70" s="2">
        <f>$M$1&amp;$D70</f>
        <v/>
      </c>
      <c r="F70" s="132" t="n">
        <v>900126898</v>
      </c>
      <c r="G70" s="72" t="inlineStr">
        <is>
          <t>Ev. Dekanat Nassauer Land</t>
        </is>
      </c>
      <c r="H70" s="1" t="n"/>
      <c r="I70" s="1" t="n"/>
      <c r="J70" s="1" t="n"/>
      <c r="K70" s="71" t="n"/>
    </row>
    <row r="71">
      <c r="A71" s="131" t="n">
        <v>689813</v>
      </c>
      <c r="B71" s="72" t="inlineStr">
        <is>
          <t>Ev. KiTa Villa Kunterbunt Lohrheim</t>
        </is>
      </c>
      <c r="C71" s="1">
        <f>MID(B71,5,100)</f>
        <v/>
      </c>
      <c r="D71" s="2">
        <f>IF(LEN($A71)&lt;=4,LEFT(TEXT($A71,"0000"),4),LEFT(TEXT($A71,"000000"),4))</f>
        <v/>
      </c>
      <c r="E71" s="2">
        <f>$M$1&amp;$D71</f>
        <v/>
      </c>
      <c r="F71" s="132" t="n">
        <v>900126898</v>
      </c>
      <c r="G71" s="72" t="inlineStr">
        <is>
          <t>Ev. Dekanat Nassauer Land</t>
        </is>
      </c>
      <c r="H71" s="1" t="n"/>
      <c r="I71" s="1" t="n"/>
      <c r="J71" s="1" t="n"/>
      <c r="K71" s="71" t="n"/>
    </row>
    <row r="72">
      <c r="A72" s="131" t="n">
        <v>689814</v>
      </c>
      <c r="B72" s="72" t="inlineStr">
        <is>
          <t>Ev. KiTa Gänseblümchen Oberneisen</t>
        </is>
      </c>
      <c r="C72" s="1">
        <f>MID(B72,5,100)</f>
        <v/>
      </c>
      <c r="D72" s="2">
        <f>IF(LEN($A72)&lt;=4,LEFT(TEXT($A72,"0000"),4),LEFT(TEXT($A72,"000000"),4))</f>
        <v/>
      </c>
      <c r="E72" s="2">
        <f>$M$1&amp;$D72</f>
        <v/>
      </c>
      <c r="F72" s="132" t="n">
        <v>900126898</v>
      </c>
      <c r="G72" s="72" t="inlineStr">
        <is>
          <t>Ev. Dekanat Nassauer Land</t>
        </is>
      </c>
      <c r="H72" s="1" t="n"/>
      <c r="I72" s="1" t="n"/>
      <c r="J72" s="1" t="n"/>
      <c r="K72" s="71" t="n"/>
    </row>
    <row r="73">
      <c r="A73" s="131" t="n">
        <v>689815</v>
      </c>
      <c r="B73" s="72" t="inlineStr">
        <is>
          <t>Ev. KiTa Insel der Kinder Eppenrod</t>
        </is>
      </c>
      <c r="C73" s="1">
        <f>MID(B73,5,100)</f>
        <v/>
      </c>
      <c r="D73" s="2">
        <f>IF(LEN($A73)&lt;=4,LEFT(TEXT($A73,"0000"),4),LEFT(TEXT($A73,"000000"),4))</f>
        <v/>
      </c>
      <c r="E73" s="2">
        <f>$M$1&amp;$D73</f>
        <v/>
      </c>
      <c r="F73" s="132" t="n">
        <v>900126898</v>
      </c>
      <c r="G73" s="72" t="inlineStr">
        <is>
          <t>Ev. Dekanat Nassauer Land</t>
        </is>
      </c>
      <c r="H73" s="1" t="n"/>
      <c r="I73" s="1" t="n"/>
      <c r="J73" s="1" t="n"/>
      <c r="K73" s="71" t="n"/>
    </row>
    <row r="74">
      <c r="A74" s="131" t="n">
        <v>689816</v>
      </c>
      <c r="B74" s="72" t="inlineStr">
        <is>
          <t>Ev. KiTa Kastanienplatz Lahnstein</t>
        </is>
      </c>
      <c r="C74" s="1">
        <f>MID(B74,5,100)</f>
        <v/>
      </c>
      <c r="D74" s="2">
        <f>IF(LEN($A74)&lt;=4,LEFT(TEXT($A74,"0000"),4),LEFT(TEXT($A74,"000000"),4))</f>
        <v/>
      </c>
      <c r="E74" s="2">
        <f>$M$1&amp;$D74</f>
        <v/>
      </c>
      <c r="F74" s="132" t="n">
        <v>900126898</v>
      </c>
      <c r="G74" s="72" t="inlineStr">
        <is>
          <t>Ev. Dekanat Nassauer Land</t>
        </is>
      </c>
      <c r="H74" s="1" t="n"/>
      <c r="I74" s="1" t="n"/>
      <c r="J74" s="1" t="n"/>
      <c r="K74" s="71" t="n"/>
    </row>
    <row r="75">
      <c r="A75" s="131" t="n">
        <v>689817</v>
      </c>
      <c r="B75" s="72" t="inlineStr">
        <is>
          <t>Ev. KiTa Langenscheid</t>
        </is>
      </c>
      <c r="C75" s="1">
        <f>MID(B75,5,100)</f>
        <v/>
      </c>
      <c r="D75" s="2">
        <f>IF(LEN($A75)&lt;=4,LEFT(TEXT($A75,"0000"),4),LEFT(TEXT($A75,"000000"),4))</f>
        <v/>
      </c>
      <c r="E75" s="2">
        <f>$M$1&amp;$D75</f>
        <v/>
      </c>
      <c r="F75" s="132" t="n">
        <v>900126898</v>
      </c>
      <c r="G75" s="72" t="inlineStr">
        <is>
          <t>Ev. Dekanat Nassauer Land</t>
        </is>
      </c>
      <c r="H75" s="1" t="n"/>
      <c r="I75" s="1" t="n"/>
      <c r="J75" s="1" t="n"/>
      <c r="K75" s="71" t="n"/>
    </row>
    <row r="76">
      <c r="A76" s="131" t="n">
        <v>689818</v>
      </c>
      <c r="B76" s="72" t="inlineStr">
        <is>
          <t>Ev. KiTa Niederwallmenach</t>
        </is>
      </c>
      <c r="C76" s="1">
        <f>MID(B76,5,100)</f>
        <v/>
      </c>
      <c r="D76" s="2">
        <f>IF(LEN($A76)&lt;=4,LEFT(TEXT($A76,"0000"),4),LEFT(TEXT($A76,"000000"),4))</f>
        <v/>
      </c>
      <c r="E76" s="2">
        <f>$M$1&amp;$D76</f>
        <v/>
      </c>
      <c r="F76" s="132" t="n">
        <v>900126898</v>
      </c>
      <c r="G76" s="72" t="inlineStr">
        <is>
          <t>Ev. Dekanat Nassauer Land</t>
        </is>
      </c>
      <c r="H76" s="1" t="n"/>
      <c r="I76" s="1" t="n"/>
      <c r="J76" s="1" t="n"/>
      <c r="K76" s="71" t="n"/>
    </row>
    <row r="77">
      <c r="A77" s="131" t="n">
        <v>689819</v>
      </c>
      <c r="B77" s="72" t="inlineStr">
        <is>
          <t>Ev. KiTa Arche am Rhein St. Goarshausen</t>
        </is>
      </c>
      <c r="C77" s="1">
        <f>MID(B77,5,100)</f>
        <v/>
      </c>
      <c r="D77" s="2">
        <f>IF(LEN($A77)&lt;=4,LEFT(TEXT($A77,"0000"),4),LEFT(TEXT($A77,"000000"),4))</f>
        <v/>
      </c>
      <c r="E77" s="2">
        <f>$M$1&amp;$D77</f>
        <v/>
      </c>
      <c r="F77" s="132" t="n">
        <v>900126898</v>
      </c>
      <c r="G77" s="72" t="inlineStr">
        <is>
          <t>Ev. Dekanat Nassauer Land</t>
        </is>
      </c>
      <c r="H77" s="1" t="n"/>
      <c r="I77" s="1" t="n"/>
      <c r="J77" s="1" t="n"/>
      <c r="K77" s="71" t="n"/>
    </row>
    <row r="78">
      <c r="A78" s="131" t="n">
        <v>689820</v>
      </c>
      <c r="B78" s="72" t="inlineStr">
        <is>
          <t>Ev. KiTa Pusteblume Nastätten</t>
        </is>
      </c>
      <c r="C78" s="1">
        <f>MID(B78,5,100)</f>
        <v/>
      </c>
      <c r="D78" s="2">
        <f>IF(LEN($A78)&lt;=4,LEFT(TEXT($A78,"0000"),4),LEFT(TEXT($A78,"000000"),4))</f>
        <v/>
      </c>
      <c r="E78" s="2">
        <f>$M$1&amp;$D78</f>
        <v/>
      </c>
      <c r="F78" s="132" t="n">
        <v>900126898</v>
      </c>
      <c r="G78" s="72" t="inlineStr">
        <is>
          <t>Ev. Dekanat Nassauer Land</t>
        </is>
      </c>
      <c r="H78" s="1" t="n"/>
      <c r="I78" s="1" t="n"/>
      <c r="J78" s="1" t="n"/>
      <c r="K78" s="71" t="n"/>
    </row>
    <row r="79">
      <c r="A79" s="131" t="n">
        <v>689821</v>
      </c>
      <c r="B79" s="72" t="inlineStr">
        <is>
          <t>Ev. KiTa Rappelkiste Bornich</t>
        </is>
      </c>
      <c r="C79" s="1">
        <f>MID(B79,5,100)</f>
        <v/>
      </c>
      <c r="D79" s="2">
        <f>IF(LEN($A79)&lt;=4,LEFT(TEXT($A79,"0000"),4),LEFT(TEXT($A79,"000000"),4))</f>
        <v/>
      </c>
      <c r="E79" s="2">
        <f>$M$1&amp;$D79</f>
        <v/>
      </c>
      <c r="F79" s="132" t="n">
        <v>900126898</v>
      </c>
      <c r="G79" s="72" t="inlineStr">
        <is>
          <t>Ev. Dekanat Nassauer Land</t>
        </is>
      </c>
      <c r="H79" s="1" t="n"/>
      <c r="I79" s="1" t="n"/>
      <c r="J79" s="1" t="n"/>
      <c r="K79" s="71" t="n"/>
    </row>
    <row r="80">
      <c r="A80" s="131" t="n">
        <v>689822</v>
      </c>
      <c r="B80" s="72" t="inlineStr">
        <is>
          <t>Ev. KiTa Friedland Lahnstein</t>
        </is>
      </c>
      <c r="C80" s="1">
        <f>MID(B80,5,100)</f>
        <v/>
      </c>
      <c r="D80" s="2">
        <f>IF(LEN($A80)&lt;=4,LEFT(TEXT($A80,"0000"),4),LEFT(TEXT($A80,"000000"),4))</f>
        <v/>
      </c>
      <c r="E80" s="2">
        <f>$M$1&amp;$D80</f>
        <v/>
      </c>
      <c r="F80" s="132" t="n">
        <v>900126898</v>
      </c>
      <c r="G80" s="72" t="inlineStr">
        <is>
          <t>Ev. Dekanat Nassauer Land</t>
        </is>
      </c>
      <c r="H80" s="1" t="n"/>
      <c r="I80" s="1" t="n"/>
      <c r="J80" s="1" t="n"/>
      <c r="K80" s="71" t="n"/>
    </row>
    <row r="81">
      <c r="A81" s="131" t="n">
        <v>689823</v>
      </c>
      <c r="B81" s="72" t="inlineStr">
        <is>
          <t>Ev. KiTa Villa Kunterbunt Lahnstein</t>
        </is>
      </c>
      <c r="C81" s="1">
        <f>MID(B81,5,100)</f>
        <v/>
      </c>
      <c r="D81" s="2">
        <f>IF(LEN($A81)&lt;=4,LEFT(TEXT($A81,"0000"),4),LEFT(TEXT($A81,"000000"),4))</f>
        <v/>
      </c>
      <c r="E81" s="2">
        <f>$M$1&amp;$D81</f>
        <v/>
      </c>
      <c r="F81" s="132" t="n">
        <v>900126898</v>
      </c>
      <c r="G81" s="72" t="inlineStr">
        <is>
          <t>Ev. Dekanat Nassauer Land</t>
        </is>
      </c>
      <c r="H81" s="1" t="n"/>
      <c r="I81" s="1" t="n"/>
      <c r="J81" s="1" t="n"/>
      <c r="K81" s="71" t="n"/>
    </row>
    <row r="82">
      <c r="A82" s="131" t="n">
        <v>689824</v>
      </c>
      <c r="B82" s="72" t="inlineStr">
        <is>
          <t>Ev. KiTa Allerheiligenberg Lahnstein</t>
        </is>
      </c>
      <c r="C82" s="1">
        <f>MID(B82,5,100)</f>
        <v/>
      </c>
      <c r="D82" s="2">
        <f>IF(LEN($A82)&lt;=4,LEFT(TEXT($A82,"0000"),4),LEFT(TEXT($A82,"000000"),4))</f>
        <v/>
      </c>
      <c r="E82" s="2">
        <f>$M$1&amp;$D82</f>
        <v/>
      </c>
      <c r="F82" s="132" t="n">
        <v>900126898</v>
      </c>
      <c r="G82" s="72" t="inlineStr">
        <is>
          <t>Ev. Dekanat Nassauer Land</t>
        </is>
      </c>
      <c r="H82" s="1" t="n"/>
      <c r="I82" s="1" t="n"/>
      <c r="J82" s="1" t="n"/>
      <c r="K82" s="71" t="n"/>
    </row>
    <row r="83">
      <c r="A83" s="131" t="n">
        <v>788201</v>
      </c>
      <c r="B83" s="72" t="inlineStr">
        <is>
          <t>Ev. KiTa Kinderarche Höhr Grenzhausen</t>
        </is>
      </c>
      <c r="C83" s="1">
        <f>MID(B83,5,100)</f>
        <v/>
      </c>
      <c r="D83" s="2">
        <f>IF(LEN($A83)&lt;=4,LEFT(TEXT($A83,"0000"),4),LEFT(TEXT($A83,"000000"),4))</f>
        <v/>
      </c>
      <c r="E83" s="2">
        <f>$M$1&amp;$D83</f>
        <v/>
      </c>
      <c r="F83" s="132" t="n">
        <v>900127898</v>
      </c>
      <c r="G83" s="72" t="inlineStr">
        <is>
          <t>Ev. Dekanat Westerwald</t>
        </is>
      </c>
      <c r="H83" s="1" t="n"/>
      <c r="I83" s="1" t="n"/>
      <c r="J83" s="1" t="n"/>
      <c r="K83" s="71" t="n"/>
    </row>
    <row r="84">
      <c r="A84" s="131" t="n">
        <v>788202</v>
      </c>
      <c r="B84" s="72" t="inlineStr">
        <is>
          <t>Ev. KiTa Regenbogen Emmerichenhain</t>
        </is>
      </c>
      <c r="C84" s="1">
        <f>MID(B84,5,100)</f>
        <v/>
      </c>
      <c r="D84" s="2">
        <f>IF(LEN($A84)&lt;=4,LEFT(TEXT($A84,"0000"),4),LEFT(TEXT($A84,"000000"),4))</f>
        <v/>
      </c>
      <c r="E84" s="2">
        <f>$M$1&amp;$D84</f>
        <v/>
      </c>
      <c r="F84" s="132" t="n">
        <v>900127898</v>
      </c>
      <c r="G84" s="72" t="inlineStr">
        <is>
          <t>Ev. Dekanat Westerwald</t>
        </is>
      </c>
      <c r="H84" s="1" t="n"/>
      <c r="I84" s="1" t="n"/>
      <c r="J84" s="1" t="n"/>
      <c r="K84" s="71" t="n"/>
    </row>
    <row r="85">
      <c r="A85" s="131" t="n">
        <v>788203</v>
      </c>
      <c r="B85" s="72" t="inlineStr">
        <is>
          <t>Ev. KiTa Glückskind Freirachdorf</t>
        </is>
      </c>
      <c r="C85" s="1">
        <f>MID(B85,5,100)</f>
        <v/>
      </c>
      <c r="D85" s="2">
        <f>IF(LEN($A85)&lt;=4,LEFT(TEXT($A85,"0000"),4),LEFT(TEXT($A85,"000000"),4))</f>
        <v/>
      </c>
      <c r="E85" s="2">
        <f>$M$1&amp;$D85</f>
        <v/>
      </c>
      <c r="F85" s="132" t="n">
        <v>900127898</v>
      </c>
      <c r="G85" s="72" t="inlineStr">
        <is>
          <t>Ev. Dekanat Westerwald</t>
        </is>
      </c>
      <c r="H85" s="1" t="n"/>
      <c r="I85" s="1" t="n"/>
      <c r="J85" s="1" t="n"/>
      <c r="K85" s="71" t="n"/>
    </row>
    <row r="86">
      <c r="A86" s="131" t="n">
        <v>788204</v>
      </c>
      <c r="B86" s="72" t="inlineStr">
        <is>
          <t>Ev. KiTa Garten Eden Gemünden</t>
        </is>
      </c>
      <c r="C86" s="1">
        <f>MID(B86,5,100)</f>
        <v/>
      </c>
      <c r="D86" s="2">
        <f>IF(LEN($A86)&lt;=4,LEFT(TEXT($A86,"0000"),4),LEFT(TEXT($A86,"000000"),4))</f>
        <v/>
      </c>
      <c r="E86" s="2">
        <f>$M$1&amp;$D86</f>
        <v/>
      </c>
      <c r="F86" s="132" t="n">
        <v>900127898</v>
      </c>
      <c r="G86" s="72" t="inlineStr">
        <is>
          <t>Ev. Dekanat Westerwald</t>
        </is>
      </c>
      <c r="H86" s="1" t="n"/>
      <c r="I86" s="1" t="n"/>
      <c r="J86" s="1" t="n"/>
      <c r="K86" s="71" t="n"/>
    </row>
    <row r="87">
      <c r="A87" s="131" t="n">
        <v>788205</v>
      </c>
      <c r="B87" s="72" t="inlineStr">
        <is>
          <t>Ev. Kita Miteinander Hachenburg</t>
        </is>
      </c>
      <c r="C87" s="1">
        <f>MID(B87,5,100)</f>
        <v/>
      </c>
      <c r="D87" s="2">
        <f>IF(LEN($A87)&lt;=4,LEFT(TEXT($A87,"0000"),4),LEFT(TEXT($A87,"000000"),4))</f>
        <v/>
      </c>
      <c r="E87" s="2">
        <f>$M$1&amp;$D87</f>
        <v/>
      </c>
      <c r="F87" s="132" t="n">
        <v>900127898</v>
      </c>
      <c r="G87" s="72" t="inlineStr">
        <is>
          <t>Ev. Dekanat Westerwald</t>
        </is>
      </c>
      <c r="H87" s="1" t="n"/>
      <c r="I87" s="1" t="n"/>
      <c r="J87" s="1" t="n"/>
      <c r="K87" s="71" t="n"/>
    </row>
    <row r="88">
      <c r="A88" s="131" t="n">
        <v>788206</v>
      </c>
      <c r="B88" s="72" t="inlineStr">
        <is>
          <t>Ev. KiTa Hilgert</t>
        </is>
      </c>
      <c r="C88" s="1">
        <f>MID(B88,5,100)</f>
        <v/>
      </c>
      <c r="D88" s="2">
        <f>IF(LEN($A88)&lt;=4,LEFT(TEXT($A88,"0000"),4),LEFT(TEXT($A88,"000000"),4))</f>
        <v/>
      </c>
      <c r="E88" s="2">
        <f>$M$1&amp;$D88</f>
        <v/>
      </c>
      <c r="F88" s="132" t="n">
        <v>900127898</v>
      </c>
      <c r="G88" s="72" t="inlineStr">
        <is>
          <t>Ev. Dekanat Westerwald</t>
        </is>
      </c>
      <c r="H88" s="1" t="n"/>
      <c r="I88" s="1" t="n"/>
      <c r="J88" s="1" t="n"/>
      <c r="K88" s="71" t="n"/>
    </row>
    <row r="89">
      <c r="A89" s="131" t="n">
        <v>788207</v>
      </c>
      <c r="B89" s="72" t="inlineStr">
        <is>
          <t>Ev. KiTa Rehe</t>
        </is>
      </c>
      <c r="C89" s="1">
        <f>MID(B89,5,100)</f>
        <v/>
      </c>
      <c r="D89" s="2">
        <f>IF(LEN($A89)&lt;=4,LEFT(TEXT($A89,"0000"),4),LEFT(TEXT($A89,"000000"),4))</f>
        <v/>
      </c>
      <c r="E89" s="2">
        <f>$M$1&amp;$D89</f>
        <v/>
      </c>
      <c r="F89" s="132" t="n">
        <v>900127898</v>
      </c>
      <c r="G89" s="72" t="inlineStr">
        <is>
          <t>Ev. Dekanat Westerwald</t>
        </is>
      </c>
      <c r="H89" s="1" t="n"/>
      <c r="I89" s="1" t="n"/>
      <c r="J89" s="1" t="n"/>
      <c r="K89" s="71" t="n"/>
    </row>
    <row r="90">
      <c r="A90" s="131" t="n">
        <v>788208</v>
      </c>
      <c r="B90" s="72" t="inlineStr">
        <is>
          <t>Ev. KiTa Plumpaquatsch Selters</t>
        </is>
      </c>
      <c r="C90" s="1">
        <f>MID(B90,5,100)</f>
        <v/>
      </c>
      <c r="D90" s="2">
        <f>IF(LEN($A90)&lt;=4,LEFT(TEXT($A90,"0000"),4),LEFT(TEXT($A90,"000000"),4))</f>
        <v/>
      </c>
      <c r="E90" s="2">
        <f>$M$1&amp;$D90</f>
        <v/>
      </c>
      <c r="F90" s="132" t="n">
        <v>900127898</v>
      </c>
      <c r="G90" s="72" t="inlineStr">
        <is>
          <t>Ev. Dekanat Westerwald</t>
        </is>
      </c>
      <c r="H90" s="1" t="n"/>
      <c r="I90" s="1" t="n"/>
      <c r="J90" s="1" t="n"/>
      <c r="K90" s="71" t="n"/>
    </row>
    <row r="91">
      <c r="A91" s="131" t="n">
        <v>788209</v>
      </c>
      <c r="B91" s="72" t="inlineStr">
        <is>
          <t>Ev. KiTa Purzelbaum Wahlrod</t>
        </is>
      </c>
      <c r="C91" s="1">
        <f>MID(B91,5,100)</f>
        <v/>
      </c>
      <c r="D91" s="2">
        <f>IF(LEN($A91)&lt;=4,LEFT(TEXT($A91,"0000"),4),LEFT(TEXT($A91,"000000"),4))</f>
        <v/>
      </c>
      <c r="E91" s="2">
        <f>$M$1&amp;$D91</f>
        <v/>
      </c>
      <c r="F91" s="132" t="n">
        <v>900127898</v>
      </c>
      <c r="G91" s="72" t="inlineStr">
        <is>
          <t>Ev. Dekanat Westerwald</t>
        </is>
      </c>
      <c r="H91" s="1" t="n"/>
      <c r="I91" s="1" t="n"/>
      <c r="J91" s="1" t="n"/>
      <c r="K91" s="71" t="n"/>
    </row>
    <row r="92">
      <c r="A92" s="131" t="n">
        <v>788210</v>
      </c>
      <c r="B92" s="72" t="inlineStr">
        <is>
          <t>Ev. KiTa Pfarrer Ninck Westerburg</t>
        </is>
      </c>
      <c r="C92" s="1">
        <f>MID(B92,5,100)</f>
        <v/>
      </c>
      <c r="D92" s="2">
        <f>IF(LEN($A92)&lt;=4,LEFT(TEXT($A92,"0000"),4),LEFT(TEXT($A92,"000000"),4))</f>
        <v/>
      </c>
      <c r="E92" s="2">
        <f>$M$1&amp;$D92</f>
        <v/>
      </c>
      <c r="F92" s="132" t="n">
        <v>900127898</v>
      </c>
      <c r="G92" s="72" t="inlineStr">
        <is>
          <t>Ev. Dekanat Westerwald</t>
        </is>
      </c>
      <c r="H92" s="1" t="n"/>
      <c r="I92" s="1" t="n"/>
      <c r="J92" s="1" t="n"/>
      <c r="K92" s="71" t="n"/>
    </row>
    <row r="93">
      <c r="A93" s="131" t="n">
        <v>788211</v>
      </c>
      <c r="B93" s="72" t="inlineStr">
        <is>
          <t>Ev. KiTa Regenbogenland Wirges</t>
        </is>
      </c>
      <c r="C93" s="1">
        <f>MID(B93,5,100)</f>
        <v/>
      </c>
      <c r="D93" s="2">
        <f>IF(LEN($A93)&lt;=4,LEFT(TEXT($A93,"0000"),4),LEFT(TEXT($A93,"000000"),4))</f>
        <v/>
      </c>
      <c r="E93" s="2">
        <f>$M$1&amp;$D93</f>
        <v/>
      </c>
      <c r="F93" s="132" t="n">
        <v>900127898</v>
      </c>
      <c r="G93" s="72" t="inlineStr">
        <is>
          <t>Ev. Dekanat Westerwald</t>
        </is>
      </c>
      <c r="H93" s="1" t="n"/>
      <c r="I93" s="1" t="n"/>
      <c r="J93" s="1" t="n"/>
      <c r="K93" s="71" t="n"/>
    </row>
    <row r="94">
      <c r="A94" s="131" t="n">
        <v>788212</v>
      </c>
      <c r="B94" s="72" t="inlineStr">
        <is>
          <t>Ev. KiTa Mogendorf</t>
        </is>
      </c>
      <c r="C94" s="1">
        <f>MID(B94,5,100)</f>
        <v/>
      </c>
      <c r="D94" s="2">
        <f>IF(LEN($A94)&lt;=4,LEFT(TEXT($A94,"0000"),4),LEFT(TEXT($A94,"000000"),4))</f>
        <v/>
      </c>
      <c r="E94" s="2">
        <f>$M$1&amp;$D94</f>
        <v/>
      </c>
      <c r="F94" s="132" t="n">
        <v>900127898</v>
      </c>
      <c r="G94" s="72" t="inlineStr">
        <is>
          <t>Ev. Dekanat Westerwald</t>
        </is>
      </c>
      <c r="H94" s="1" t="n"/>
      <c r="I94" s="1" t="n"/>
      <c r="J94" s="1" t="n"/>
      <c r="K94" s="71" t="n"/>
    </row>
    <row r="95">
      <c r="A95" s="131" t="n"/>
      <c r="D95" s="2" t="n"/>
      <c r="G95" s="1" t="n"/>
      <c r="H95" s="1" t="n"/>
      <c r="I95" s="1" t="n"/>
      <c r="J95" s="1" t="n"/>
      <c r="K95" s="71" t="n"/>
    </row>
    <row r="96">
      <c r="A96" s="131" t="n"/>
      <c r="D96" s="2" t="n"/>
      <c r="G96" s="1" t="n"/>
      <c r="H96" s="1" t="n"/>
      <c r="I96" s="1" t="n"/>
      <c r="J96" s="1" t="n"/>
      <c r="K96" s="71" t="n"/>
    </row>
    <row r="97">
      <c r="A97" s="131" t="n"/>
      <c r="D97" s="2" t="n"/>
      <c r="G97" s="1" t="n"/>
      <c r="H97" s="1" t="n"/>
      <c r="I97" s="1" t="n"/>
      <c r="J97" s="1" t="n"/>
      <c r="K97" s="71" t="n"/>
    </row>
    <row r="98">
      <c r="A98" s="131" t="n"/>
      <c r="D98" s="2" t="n"/>
      <c r="G98" s="1" t="n"/>
      <c r="H98" s="1" t="n"/>
      <c r="I98" s="1" t="n"/>
      <c r="J98" s="1" t="n"/>
      <c r="K98" s="71" t="n"/>
    </row>
    <row r="99">
      <c r="A99" s="131" t="n"/>
      <c r="D99" s="2" t="n"/>
      <c r="G99" s="1" t="n"/>
      <c r="H99" s="1" t="n"/>
      <c r="I99" s="1" t="n"/>
      <c r="J99" s="1" t="n"/>
      <c r="K99" s="71" t="n"/>
    </row>
    <row r="100">
      <c r="A100" s="131" t="n"/>
      <c r="D100" s="2" t="n"/>
      <c r="G100" s="1" t="n"/>
      <c r="H100" s="1" t="n"/>
      <c r="I100" s="1" t="n"/>
      <c r="J100" s="1" t="n"/>
      <c r="K100" s="71" t="n"/>
    </row>
    <row r="101">
      <c r="A101" s="131" t="n"/>
      <c r="D101" s="2" t="n"/>
      <c r="G101" s="1" t="n"/>
      <c r="H101" s="1" t="n"/>
      <c r="I101" s="1" t="n"/>
      <c r="J101" s="1" t="n"/>
      <c r="K101" s="71" t="n"/>
    </row>
    <row r="102">
      <c r="A102" s="131" t="n"/>
      <c r="D102" s="2" t="n"/>
      <c r="G102" s="1" t="n"/>
      <c r="H102" s="1" t="n"/>
      <c r="I102" s="1" t="n"/>
      <c r="J102" s="1" t="n"/>
      <c r="K102" s="71" t="n"/>
    </row>
    <row r="103">
      <c r="A103" s="131" t="n"/>
      <c r="D103" s="2" t="n"/>
      <c r="G103" s="1" t="n"/>
      <c r="H103" s="1" t="n"/>
      <c r="I103" s="1" t="n"/>
      <c r="J103" s="1" t="n"/>
      <c r="K103" s="71" t="n"/>
    </row>
    <row r="104">
      <c r="A104" s="131" t="n"/>
      <c r="D104" s="2" t="n"/>
      <c r="G104" s="1" t="n"/>
      <c r="H104" s="1" t="n"/>
      <c r="I104" s="1" t="n"/>
      <c r="J104" s="1" t="n"/>
      <c r="K104" s="71" t="n"/>
    </row>
    <row r="105">
      <c r="A105" s="89" t="n"/>
      <c r="D105" s="2" t="n"/>
      <c r="G105" s="1" t="n"/>
      <c r="H105" s="1" t="n"/>
      <c r="I105" s="1" t="n"/>
      <c r="J105" s="1" t="n"/>
      <c r="K105" s="71" t="n"/>
    </row>
    <row r="106">
      <c r="A106" s="89" t="n"/>
      <c r="D106" s="2" t="n"/>
      <c r="G106" s="1" t="n"/>
      <c r="H106" s="1" t="n"/>
      <c r="I106" s="1" t="n"/>
      <c r="J106" s="1" t="n"/>
      <c r="K106" s="71" t="n"/>
    </row>
    <row r="107">
      <c r="A107" s="89" t="n"/>
      <c r="D107" s="2" t="n"/>
      <c r="G107" s="1" t="n"/>
      <c r="H107" s="1" t="n"/>
      <c r="I107" s="1" t="n"/>
      <c r="J107" s="1" t="n"/>
      <c r="K107" s="71" t="n"/>
    </row>
    <row r="108">
      <c r="A108" s="89" t="n"/>
      <c r="D108" s="2" t="n"/>
      <c r="G108" s="1" t="n"/>
      <c r="H108" s="1" t="n"/>
      <c r="I108" s="1" t="n"/>
      <c r="J108" s="1" t="n"/>
      <c r="K108" s="71" t="n"/>
    </row>
    <row r="109">
      <c r="A109" s="89" t="n"/>
      <c r="D109" s="2" t="n"/>
      <c r="G109" s="1" t="n"/>
      <c r="H109" s="1" t="n"/>
      <c r="I109" s="1" t="n"/>
      <c r="J109" s="1" t="n"/>
      <c r="K109" s="71" t="n"/>
    </row>
    <row r="110">
      <c r="A110" s="89" t="n"/>
      <c r="D110" s="2" t="n"/>
      <c r="G110" s="1" t="n"/>
      <c r="H110" s="1" t="n"/>
      <c r="I110" s="1" t="n"/>
      <c r="J110" s="1" t="n"/>
      <c r="K110" s="71" t="n"/>
    </row>
    <row r="111">
      <c r="A111" s="89" t="n"/>
      <c r="D111" s="2" t="n"/>
      <c r="G111" s="1" t="n"/>
      <c r="H111" s="1" t="n"/>
      <c r="I111" s="1" t="n"/>
      <c r="J111" s="1" t="n"/>
      <c r="K111" s="71" t="n"/>
    </row>
    <row r="112">
      <c r="A112" s="89" t="n"/>
      <c r="D112" s="2" t="n"/>
      <c r="G112" s="1" t="n"/>
      <c r="H112" s="1" t="n"/>
      <c r="I112" s="1" t="n"/>
      <c r="J112" s="1" t="n"/>
      <c r="K112" s="71" t="n"/>
    </row>
    <row r="113">
      <c r="A113" s="89" t="n"/>
      <c r="D113" s="2" t="n"/>
      <c r="G113" s="1" t="n"/>
      <c r="H113" s="1" t="n"/>
      <c r="I113" s="1" t="n"/>
      <c r="J113" s="1" t="n"/>
      <c r="K113" s="71" t="n"/>
    </row>
    <row r="114">
      <c r="A114" s="89" t="n"/>
      <c r="D114" s="2" t="n"/>
      <c r="G114" s="1" t="n"/>
      <c r="H114" s="1" t="n"/>
      <c r="I114" s="1" t="n"/>
      <c r="J114" s="1" t="n"/>
      <c r="K114" s="71" t="n"/>
    </row>
    <row r="115">
      <c r="A115" s="89" t="n"/>
      <c r="D115" s="2" t="n"/>
      <c r="G115" s="1" t="n"/>
      <c r="H115" s="1" t="n"/>
      <c r="I115" s="1" t="n"/>
      <c r="J115" s="1" t="n"/>
      <c r="K115" s="71" t="n"/>
    </row>
    <row r="116">
      <c r="A116" s="89" t="n"/>
      <c r="D116" s="2" t="n"/>
      <c r="G116" s="1" t="n"/>
      <c r="H116" s="1" t="n"/>
      <c r="I116" s="1" t="n"/>
      <c r="J116" s="1" t="n"/>
      <c r="K116" s="71" t="n"/>
    </row>
    <row r="117">
      <c r="A117" s="89" t="n"/>
      <c r="D117" s="2" t="n"/>
      <c r="G117" s="1" t="n"/>
      <c r="H117" s="1" t="n"/>
      <c r="I117" s="1" t="n"/>
      <c r="J117" s="1" t="n"/>
      <c r="K117" s="71" t="n"/>
    </row>
    <row r="118">
      <c r="A118" s="89" t="n"/>
      <c r="D118" s="2" t="n"/>
      <c r="G118" s="1" t="n"/>
      <c r="H118" s="1" t="n"/>
      <c r="I118" s="1" t="n"/>
      <c r="J118" s="1" t="n"/>
      <c r="K118" s="71" t="n"/>
    </row>
    <row r="119">
      <c r="A119" s="89" t="n"/>
      <c r="D119" s="2" t="n"/>
      <c r="G119" s="1" t="n"/>
      <c r="H119" s="1" t="n"/>
      <c r="I119" s="1" t="n"/>
      <c r="J119" s="1" t="n"/>
      <c r="K119" s="71" t="n"/>
    </row>
    <row r="120">
      <c r="A120" s="89" t="n"/>
      <c r="D120" s="2" t="n"/>
      <c r="G120" s="1" t="n"/>
      <c r="H120" s="1" t="n"/>
      <c r="I120" s="1" t="n"/>
      <c r="J120" s="1" t="n"/>
      <c r="K120" s="71" t="n"/>
    </row>
    <row r="121">
      <c r="A121" s="89" t="n"/>
      <c r="D121" s="2" t="n"/>
      <c r="G121" s="1" t="n"/>
      <c r="H121" s="1" t="n"/>
      <c r="I121" s="1" t="n"/>
      <c r="J121" s="1" t="n"/>
      <c r="K121" s="71" t="n"/>
    </row>
    <row r="122">
      <c r="A122" s="89" t="n"/>
      <c r="D122" s="2" t="n"/>
      <c r="G122" s="1" t="n"/>
      <c r="H122" s="1" t="n"/>
      <c r="I122" s="1" t="n"/>
      <c r="J122" s="1" t="n"/>
      <c r="K122" s="71" t="n"/>
    </row>
    <row r="123">
      <c r="A123" s="89" t="n"/>
      <c r="D123" s="2" t="n"/>
      <c r="G123" s="1" t="n"/>
      <c r="H123" s="1" t="n"/>
      <c r="I123" s="1" t="n"/>
      <c r="J123" s="1" t="n"/>
      <c r="K123" s="71" t="n"/>
    </row>
    <row r="124">
      <c r="A124" s="89" t="n"/>
      <c r="D124" s="2" t="n"/>
      <c r="G124" s="1" t="n"/>
      <c r="H124" s="1" t="n"/>
      <c r="I124" s="1" t="n"/>
      <c r="J124" s="1" t="n"/>
      <c r="K124" s="71" t="n"/>
    </row>
    <row r="125">
      <c r="A125" s="89" t="n"/>
      <c r="D125" s="2" t="n"/>
      <c r="G125" s="1" t="n"/>
      <c r="H125" s="1" t="n"/>
      <c r="I125" s="1" t="n"/>
      <c r="J125" s="1" t="n"/>
      <c r="K125" s="71" t="n"/>
    </row>
    <row r="126">
      <c r="A126" s="89" t="n"/>
      <c r="D126" s="2" t="n"/>
      <c r="G126" s="1" t="n"/>
      <c r="H126" s="1" t="n"/>
      <c r="I126" s="1" t="n"/>
      <c r="J126" s="1" t="n"/>
      <c r="K126" s="71" t="n"/>
    </row>
    <row r="127">
      <c r="A127" s="89" t="n"/>
      <c r="D127" s="2" t="n"/>
      <c r="G127" s="1" t="n"/>
      <c r="H127" s="1" t="n"/>
      <c r="I127" s="1" t="n"/>
      <c r="J127" s="1" t="n"/>
      <c r="K127" s="71" t="n"/>
    </row>
    <row r="128">
      <c r="A128" s="89" t="n"/>
      <c r="D128" s="2" t="n"/>
      <c r="G128" s="1" t="n"/>
      <c r="H128" s="1" t="n"/>
      <c r="I128" s="1" t="n"/>
      <c r="J128" s="1" t="n"/>
      <c r="K128" s="71" t="n"/>
    </row>
    <row r="129">
      <c r="A129" s="89" t="n"/>
      <c r="D129" s="2" t="n"/>
      <c r="G129" s="1" t="n"/>
      <c r="H129" s="1" t="n"/>
      <c r="I129" s="1" t="n"/>
      <c r="J129" s="1" t="n"/>
      <c r="K129" s="71" t="n"/>
    </row>
    <row r="130">
      <c r="A130" s="89" t="n"/>
      <c r="D130" s="2" t="n"/>
      <c r="G130" s="1" t="n"/>
      <c r="H130" s="1" t="n"/>
      <c r="I130" s="1" t="n"/>
      <c r="J130" s="1" t="n"/>
      <c r="K130" s="71" t="n"/>
    </row>
    <row r="131">
      <c r="A131" s="89" t="n"/>
      <c r="D131" s="2" t="n"/>
      <c r="G131" s="1" t="n"/>
      <c r="H131" s="1" t="n"/>
      <c r="I131" s="1" t="n"/>
      <c r="J131" s="1" t="n"/>
      <c r="K131" s="71" t="n"/>
    </row>
    <row r="132">
      <c r="A132" s="89" t="n"/>
      <c r="D132" s="2" t="n"/>
      <c r="G132" s="1" t="n"/>
      <c r="H132" s="1" t="n"/>
      <c r="I132" s="1" t="n"/>
      <c r="J132" s="1" t="n"/>
      <c r="K132" s="71" t="n"/>
    </row>
    <row r="133">
      <c r="A133" s="89" t="n"/>
      <c r="D133" s="2" t="n"/>
      <c r="G133" s="1" t="n"/>
      <c r="H133" s="1" t="n"/>
      <c r="I133" s="1" t="n"/>
      <c r="J133" s="1" t="n"/>
      <c r="K133" s="71" t="n"/>
    </row>
    <row r="134">
      <c r="A134" s="89" t="n"/>
      <c r="D134" s="2" t="n"/>
      <c r="G134" s="1" t="n"/>
      <c r="H134" s="1" t="n"/>
      <c r="I134" s="1" t="n"/>
      <c r="J134" s="1" t="n"/>
      <c r="K134" s="71" t="n"/>
    </row>
    <row r="135">
      <c r="A135" s="89" t="n"/>
      <c r="D135" s="2" t="n"/>
      <c r="G135" s="1" t="n"/>
      <c r="H135" s="1" t="n"/>
      <c r="I135" s="1" t="n"/>
      <c r="J135" s="1" t="n"/>
      <c r="K135" s="71" t="n"/>
    </row>
    <row r="136">
      <c r="A136" s="89" t="n"/>
      <c r="D136" s="2" t="n"/>
      <c r="G136" s="1" t="n"/>
      <c r="H136" s="1" t="n"/>
      <c r="I136" s="1" t="n"/>
      <c r="J136" s="1" t="n"/>
      <c r="K136" s="71" t="n"/>
    </row>
    <row r="137">
      <c r="A137" s="89" t="n"/>
      <c r="D137" s="2" t="n"/>
      <c r="G137" s="1" t="n"/>
      <c r="H137" s="1" t="n"/>
      <c r="I137" s="1" t="n"/>
      <c r="J137" s="1" t="n"/>
      <c r="K137" s="71" t="n"/>
    </row>
    <row r="138">
      <c r="A138" s="89" t="n"/>
      <c r="D138" s="2" t="n"/>
      <c r="G138" s="1" t="n"/>
      <c r="H138" s="1" t="n"/>
      <c r="I138" s="1" t="n"/>
      <c r="J138" s="1" t="n"/>
      <c r="K138" s="71" t="n"/>
    </row>
    <row r="139">
      <c r="A139" s="89" t="n"/>
      <c r="D139" s="2" t="n"/>
      <c r="G139" s="1" t="n"/>
      <c r="H139" s="1" t="n"/>
      <c r="I139" s="1" t="n"/>
      <c r="J139" s="1" t="n"/>
      <c r="K139" s="71" t="n"/>
    </row>
    <row r="140">
      <c r="A140" s="89" t="n"/>
      <c r="D140" s="2" t="n"/>
      <c r="G140" s="1" t="n"/>
      <c r="H140" s="1" t="n"/>
      <c r="I140" s="1" t="n"/>
      <c r="J140" s="1" t="n"/>
      <c r="K140" s="71" t="n"/>
    </row>
    <row r="141">
      <c r="A141" s="89" t="n"/>
      <c r="D141" s="2" t="n"/>
      <c r="G141" s="1" t="n"/>
      <c r="H141" s="1" t="n"/>
      <c r="I141" s="1" t="n"/>
      <c r="J141" s="1" t="n"/>
      <c r="K141" s="71" t="n"/>
    </row>
    <row r="142">
      <c r="A142" s="89" t="n"/>
      <c r="D142" s="2" t="n"/>
      <c r="G142" s="1" t="n"/>
      <c r="H142" s="1" t="n"/>
      <c r="I142" s="1" t="n"/>
      <c r="J142" s="1" t="n"/>
      <c r="K142" s="71" t="n"/>
    </row>
    <row r="143">
      <c r="A143" s="89" t="n"/>
      <c r="D143" s="2" t="n"/>
      <c r="G143" s="1" t="n"/>
      <c r="H143" s="1" t="n"/>
      <c r="I143" s="1" t="n"/>
      <c r="J143" s="1" t="n"/>
      <c r="K143" s="71" t="n"/>
    </row>
    <row r="144">
      <c r="A144" s="89" t="n"/>
      <c r="D144" s="2" t="n"/>
      <c r="G144" s="1" t="n"/>
      <c r="H144" s="1" t="n"/>
      <c r="I144" s="1" t="n"/>
      <c r="J144" s="1" t="n"/>
      <c r="K144" s="71" t="n"/>
    </row>
    <row r="145">
      <c r="A145" s="89" t="n"/>
      <c r="D145" s="2" t="n"/>
      <c r="G145" s="1" t="n"/>
      <c r="H145" s="1" t="n"/>
      <c r="I145" s="1" t="n"/>
      <c r="J145" s="1" t="n"/>
      <c r="K145" s="71" t="n"/>
    </row>
    <row r="146">
      <c r="A146" s="89" t="n"/>
      <c r="D146" s="2" t="n"/>
      <c r="G146" s="1" t="n"/>
      <c r="H146" s="1" t="n"/>
      <c r="I146" s="1" t="n"/>
      <c r="J146" s="1" t="n"/>
      <c r="K146" s="71" t="n"/>
    </row>
    <row r="147">
      <c r="A147" s="89" t="n"/>
      <c r="D147" s="2" t="n"/>
      <c r="G147" s="1" t="n"/>
      <c r="H147" s="1" t="n"/>
      <c r="I147" s="1" t="n"/>
      <c r="J147" s="1" t="n"/>
      <c r="K147" s="71" t="n"/>
    </row>
    <row r="148">
      <c r="A148" s="89" t="n"/>
      <c r="D148" s="2" t="n"/>
      <c r="G148" s="1" t="n"/>
      <c r="H148" s="1" t="n"/>
      <c r="I148" s="1" t="n"/>
      <c r="J148" s="1" t="n"/>
      <c r="K148" s="71" t="n"/>
    </row>
    <row r="149">
      <c r="A149" s="89" t="n"/>
      <c r="D149" s="2" t="n"/>
      <c r="G149" s="1" t="n"/>
      <c r="H149" s="1" t="n"/>
      <c r="I149" s="1" t="n"/>
      <c r="J149" s="1" t="n"/>
      <c r="K149" s="71" t="n"/>
    </row>
    <row r="150">
      <c r="A150" s="89" t="n"/>
      <c r="D150" s="2" t="n"/>
      <c r="G150" s="1" t="n"/>
      <c r="H150" s="1" t="n"/>
      <c r="I150" s="1" t="n"/>
      <c r="J150" s="1" t="n"/>
      <c r="K150" s="71" t="n"/>
    </row>
    <row r="151">
      <c r="A151" s="89" t="n"/>
      <c r="D151" s="2" t="n"/>
      <c r="G151" s="1" t="n"/>
      <c r="H151" s="1" t="n"/>
      <c r="I151" s="1" t="n"/>
      <c r="J151" s="1" t="n"/>
      <c r="K151" s="71" t="n"/>
    </row>
    <row r="152">
      <c r="A152" s="89" t="n"/>
      <c r="D152" s="2" t="n"/>
      <c r="G152" s="1" t="n"/>
      <c r="H152" s="1" t="n"/>
      <c r="I152" s="1" t="n"/>
      <c r="J152" s="1" t="n"/>
      <c r="K152" s="71" t="n"/>
    </row>
    <row r="153">
      <c r="A153" s="89" t="n"/>
      <c r="D153" s="2" t="n"/>
      <c r="G153" s="1" t="n"/>
      <c r="H153" s="1" t="n"/>
      <c r="I153" s="1" t="n"/>
      <c r="J153" s="1" t="n"/>
      <c r="K153" s="71" t="n"/>
    </row>
    <row r="154">
      <c r="A154" s="89" t="n"/>
      <c r="D154" s="2" t="n"/>
      <c r="G154" s="1" t="n"/>
      <c r="H154" s="1" t="n"/>
      <c r="I154" s="1" t="n"/>
      <c r="J154" s="1" t="n"/>
      <c r="K154" s="71" t="n"/>
    </row>
    <row r="155">
      <c r="A155" s="89" t="n"/>
      <c r="D155" s="2" t="n"/>
      <c r="G155" s="1" t="n"/>
      <c r="H155" s="1" t="n"/>
      <c r="I155" s="1" t="n"/>
      <c r="J155" s="1" t="n"/>
      <c r="K155" s="71" t="n"/>
    </row>
    <row r="156">
      <c r="A156" s="89" t="n"/>
      <c r="D156" s="2" t="n"/>
      <c r="G156" s="1" t="n"/>
      <c r="H156" s="1" t="n"/>
      <c r="I156" s="1" t="n"/>
      <c r="J156" s="1" t="n"/>
      <c r="K156" s="71" t="n"/>
    </row>
    <row r="157">
      <c r="A157" s="89" t="n"/>
      <c r="D157" s="2" t="n"/>
      <c r="G157" s="1" t="n"/>
      <c r="H157" s="1" t="n"/>
      <c r="I157" s="1" t="n"/>
      <c r="J157" s="1" t="n"/>
      <c r="K157" s="71" t="n"/>
    </row>
    <row r="158">
      <c r="A158" s="89" t="n"/>
      <c r="D158" s="2" t="n"/>
      <c r="G158" s="1" t="n"/>
      <c r="H158" s="1" t="n"/>
      <c r="I158" s="1" t="n"/>
      <c r="J158" s="1" t="n"/>
      <c r="K158" s="71" t="n"/>
    </row>
    <row r="159">
      <c r="A159" s="89" t="n"/>
      <c r="D159" s="2" t="n"/>
      <c r="G159" s="1" t="n"/>
      <c r="H159" s="1" t="n"/>
      <c r="I159" s="1" t="n"/>
      <c r="J159" s="1" t="n"/>
      <c r="K159" s="71" t="n"/>
    </row>
    <row r="160">
      <c r="A160" s="89" t="n"/>
      <c r="D160" s="2" t="n"/>
      <c r="G160" s="1" t="n"/>
      <c r="H160" s="1" t="n"/>
      <c r="I160" s="1" t="n"/>
      <c r="J160" s="1" t="n"/>
      <c r="K160" s="71" t="n"/>
    </row>
    <row r="161">
      <c r="A161" s="89" t="n"/>
      <c r="D161" s="2" t="n"/>
      <c r="G161" s="1" t="n"/>
      <c r="H161" s="1" t="n"/>
      <c r="I161" s="1" t="n"/>
      <c r="J161" s="1" t="n"/>
      <c r="K161" s="71" t="n"/>
    </row>
    <row r="162">
      <c r="A162" s="89" t="n"/>
      <c r="D162" s="2" t="n"/>
      <c r="G162" s="1" t="n"/>
      <c r="H162" s="1" t="n"/>
      <c r="I162" s="1" t="n"/>
      <c r="J162" s="1" t="n"/>
      <c r="K162" s="71" t="n"/>
    </row>
    <row r="163">
      <c r="A163" s="89" t="n"/>
      <c r="D163" s="2" t="n"/>
      <c r="G163" s="1" t="n"/>
      <c r="H163" s="1" t="n"/>
      <c r="I163" s="1" t="n"/>
      <c r="J163" s="1" t="n"/>
      <c r="K163" s="71" t="n"/>
    </row>
    <row r="164">
      <c r="A164" s="89" t="n"/>
      <c r="D164" s="2" t="n"/>
      <c r="G164" s="1" t="n"/>
      <c r="H164" s="1" t="n"/>
      <c r="I164" s="1" t="n"/>
      <c r="J164" s="1" t="n"/>
      <c r="K164" s="71" t="n"/>
    </row>
    <row r="165">
      <c r="A165" s="89" t="n"/>
      <c r="D165" s="2" t="n"/>
      <c r="G165" s="1" t="n"/>
      <c r="H165" s="1" t="n"/>
      <c r="I165" s="1" t="n"/>
      <c r="J165" s="1" t="n"/>
      <c r="K165" s="71" t="n"/>
    </row>
    <row r="166">
      <c r="A166" s="89" t="n"/>
      <c r="D166" s="2" t="n"/>
      <c r="G166" s="1" t="n"/>
      <c r="H166" s="1" t="n"/>
      <c r="I166" s="1" t="n"/>
      <c r="J166" s="1" t="n"/>
      <c r="K166" s="71" t="n"/>
    </row>
    <row r="167">
      <c r="A167" s="89" t="n"/>
      <c r="D167" s="2" t="n"/>
      <c r="G167" s="1" t="n"/>
      <c r="H167" s="1" t="n"/>
      <c r="I167" s="1" t="n"/>
      <c r="J167" s="1" t="n"/>
      <c r="K167" s="71" t="n"/>
    </row>
    <row r="168">
      <c r="A168" s="89" t="n"/>
      <c r="D168" s="2" t="n"/>
      <c r="G168" s="1" t="n"/>
      <c r="H168" s="1" t="n"/>
      <c r="I168" s="1" t="n"/>
      <c r="J168" s="1" t="n"/>
      <c r="K168" s="71" t="n"/>
    </row>
    <row r="169">
      <c r="A169" s="89" t="n"/>
      <c r="D169" s="2" t="n"/>
      <c r="G169" s="1" t="n"/>
      <c r="H169" s="1" t="n"/>
      <c r="I169" s="1" t="n"/>
      <c r="J169" s="1" t="n"/>
      <c r="K169" s="71" t="n"/>
    </row>
    <row r="170">
      <c r="A170" s="89" t="n"/>
      <c r="D170" s="2" t="n"/>
      <c r="G170" s="1" t="n"/>
      <c r="H170" s="1" t="n"/>
      <c r="I170" s="1" t="n"/>
      <c r="J170" s="1" t="n"/>
      <c r="K170" s="71" t="n"/>
    </row>
    <row r="171">
      <c r="A171" s="89" t="n"/>
      <c r="D171" s="2" t="n"/>
      <c r="G171" s="1" t="n"/>
      <c r="H171" s="1" t="n"/>
      <c r="I171" s="1" t="n"/>
      <c r="J171" s="1" t="n"/>
      <c r="K171" s="71" t="n"/>
    </row>
    <row r="172">
      <c r="A172" s="89" t="n"/>
      <c r="D172" s="2" t="n"/>
      <c r="G172" s="1" t="n"/>
      <c r="H172" s="1" t="n"/>
      <c r="I172" s="1" t="n"/>
      <c r="J172" s="1" t="n"/>
      <c r="K172" s="71" t="n"/>
    </row>
    <row r="173">
      <c r="A173" s="89" t="n"/>
      <c r="D173" s="2" t="n"/>
      <c r="G173" s="1" t="n"/>
      <c r="H173" s="1" t="n"/>
      <c r="I173" s="1" t="n"/>
      <c r="J173" s="1" t="n"/>
      <c r="K173" s="71" t="n"/>
    </row>
    <row r="174">
      <c r="A174" s="89" t="n"/>
      <c r="D174" s="2" t="n"/>
      <c r="G174" s="1" t="n"/>
      <c r="H174" s="1" t="n"/>
      <c r="I174" s="1" t="n"/>
      <c r="J174" s="1" t="n"/>
      <c r="K174" s="71" t="n"/>
    </row>
    <row r="175">
      <c r="A175" s="89" t="n"/>
      <c r="D175" s="2" t="n"/>
      <c r="G175" s="1" t="n"/>
      <c r="H175" s="1" t="n"/>
      <c r="I175" s="1" t="n"/>
      <c r="J175" s="1" t="n"/>
      <c r="K175" s="71" t="n"/>
    </row>
    <row r="176">
      <c r="A176" s="89" t="n"/>
      <c r="D176" s="2" t="n"/>
      <c r="G176" s="1" t="n"/>
      <c r="H176" s="1" t="n"/>
      <c r="I176" s="1" t="n"/>
      <c r="J176" s="1" t="n"/>
      <c r="K176" s="71" t="n"/>
    </row>
    <row r="177">
      <c r="A177" s="89" t="n"/>
      <c r="D177" s="2" t="n"/>
      <c r="G177" s="1" t="n"/>
      <c r="H177" s="1" t="n"/>
      <c r="I177" s="1" t="n"/>
      <c r="J177" s="1" t="n"/>
      <c r="K177" s="71" t="n"/>
    </row>
    <row r="178">
      <c r="A178" s="89" t="n"/>
      <c r="D178" s="2" t="n"/>
      <c r="G178" s="1" t="n"/>
      <c r="H178" s="1" t="n"/>
      <c r="I178" s="1" t="n"/>
      <c r="J178" s="1" t="n"/>
      <c r="K178" s="71" t="n"/>
    </row>
    <row r="179">
      <c r="A179" s="89" t="n"/>
      <c r="D179" s="2" t="n"/>
      <c r="G179" s="1" t="n"/>
      <c r="H179" s="1" t="n"/>
      <c r="I179" s="1" t="n"/>
      <c r="J179" s="1" t="n"/>
      <c r="K179" s="71" t="n"/>
    </row>
    <row r="180">
      <c r="A180" s="89" t="n"/>
      <c r="D180" s="2" t="n"/>
      <c r="G180" s="1" t="n"/>
      <c r="H180" s="1" t="n"/>
      <c r="I180" s="1" t="n"/>
      <c r="J180" s="1" t="n"/>
      <c r="K180" s="71" t="n"/>
    </row>
    <row r="181">
      <c r="A181" s="81" t="n"/>
      <c r="B181" s="72" t="n"/>
      <c r="D181" s="2" t="n"/>
      <c r="F181" s="132" t="n"/>
      <c r="G181" s="72" t="n"/>
      <c r="H181" s="63" t="n"/>
      <c r="I181" s="63" t="n"/>
      <c r="J181" s="63" t="n"/>
      <c r="K181" s="71" t="n"/>
    </row>
    <row r="182">
      <c r="A182" s="81" t="n"/>
      <c r="B182" s="72" t="n"/>
      <c r="D182" s="2" t="n"/>
      <c r="F182" s="132" t="n"/>
      <c r="G182" s="72" t="n"/>
      <c r="H182" s="63" t="n"/>
      <c r="I182" s="63" t="n"/>
      <c r="J182" s="63" t="n"/>
      <c r="K182" s="71" t="n"/>
    </row>
    <row r="183">
      <c r="A183" s="81" t="n"/>
      <c r="B183" s="72" t="n"/>
      <c r="D183" s="2" t="n"/>
      <c r="F183" s="132" t="n"/>
      <c r="G183" s="72" t="n"/>
      <c r="H183" s="63" t="n"/>
      <c r="I183" s="63" t="n"/>
      <c r="J183" s="63" t="n"/>
      <c r="K183" s="71" t="n"/>
    </row>
    <row r="184">
      <c r="A184" s="81" t="n"/>
      <c r="B184" s="72" t="n"/>
      <c r="D184" s="2" t="n"/>
      <c r="G184" s="72" t="n"/>
      <c r="H184" s="63" t="n"/>
      <c r="I184" s="63" t="n"/>
      <c r="J184" s="63" t="n"/>
      <c r="K184" s="71" t="n"/>
    </row>
    <row r="185">
      <c r="A185" s="81" t="n"/>
      <c r="B185" s="72" t="n"/>
      <c r="D185" s="2" t="n"/>
      <c r="G185" s="72" t="n"/>
      <c r="H185" s="63" t="n"/>
      <c r="I185" s="63" t="n"/>
      <c r="J185" s="63" t="n"/>
      <c r="K185" s="71" t="n"/>
    </row>
    <row r="186">
      <c r="A186" s="81" t="n"/>
      <c r="B186" s="72" t="n"/>
      <c r="D186" s="2" t="n"/>
      <c r="G186" s="72" t="n"/>
      <c r="H186" s="63" t="n"/>
      <c r="I186" s="63" t="n"/>
      <c r="J186" s="63" t="n"/>
      <c r="K186" s="71" t="n"/>
    </row>
    <row r="187">
      <c r="A187" s="81" t="n"/>
      <c r="B187" s="72" t="n"/>
      <c r="D187" s="2" t="n"/>
      <c r="G187" s="72" t="n"/>
      <c r="H187" s="63" t="n"/>
      <c r="I187" s="63" t="n"/>
      <c r="J187" s="63" t="n"/>
      <c r="K187" s="71" t="n"/>
    </row>
    <row r="188">
      <c r="A188" s="81" t="n"/>
      <c r="B188" s="72" t="n"/>
      <c r="D188" s="2" t="n"/>
      <c r="G188" s="72" t="n"/>
      <c r="H188" s="63" t="n"/>
      <c r="I188" s="63" t="n"/>
      <c r="J188" s="63" t="n"/>
      <c r="K188" s="71" t="n"/>
    </row>
    <row r="189">
      <c r="A189" s="81" t="n"/>
      <c r="B189" s="72" t="n"/>
      <c r="D189" s="2" t="n"/>
      <c r="G189" s="72" t="n"/>
      <c r="H189" s="63" t="n"/>
      <c r="I189" s="63" t="n"/>
      <c r="J189" s="63" t="n"/>
      <c r="K189" s="71" t="n"/>
    </row>
    <row r="190">
      <c r="A190" s="81" t="n"/>
      <c r="B190" s="72" t="n"/>
      <c r="D190" s="2" t="n"/>
      <c r="G190" s="72" t="n"/>
      <c r="H190" s="63" t="n"/>
      <c r="I190" s="63" t="n"/>
      <c r="J190" s="63" t="n"/>
      <c r="K190" s="71" t="n"/>
    </row>
    <row r="191">
      <c r="A191" s="81" t="n"/>
      <c r="B191" s="72" t="n"/>
      <c r="D191" s="2" t="n"/>
      <c r="G191" s="72" t="n"/>
      <c r="H191" s="63" t="n"/>
      <c r="I191" s="63" t="n"/>
      <c r="J191" s="63" t="n"/>
      <c r="K191" s="71" t="n"/>
    </row>
    <row r="192">
      <c r="A192" s="81" t="n"/>
      <c r="B192" s="134" t="n"/>
      <c r="D192" s="2" t="n"/>
      <c r="G192" s="134" t="n"/>
      <c r="H192" s="63" t="n"/>
      <c r="I192" s="63" t="n"/>
      <c r="J192" s="63" t="n"/>
      <c r="K192" s="71" t="n"/>
    </row>
    <row r="193">
      <c r="A193" s="81" t="n"/>
      <c r="B193" s="134" t="n"/>
      <c r="D193" s="2" t="n"/>
      <c r="G193" s="134" t="n"/>
      <c r="H193" s="63" t="n"/>
      <c r="I193" s="63" t="n"/>
      <c r="J193" s="63" t="n"/>
      <c r="K193" s="71" t="n"/>
    </row>
    <row r="194">
      <c r="A194" s="81" t="n"/>
      <c r="B194" s="134" t="n"/>
      <c r="D194" s="2" t="n"/>
      <c r="G194" s="134" t="n"/>
      <c r="H194" s="63" t="n"/>
      <c r="I194" s="63" t="n"/>
      <c r="J194" s="63" t="n"/>
      <c r="K194" s="71" t="n"/>
    </row>
    <row r="195">
      <c r="A195" s="81" t="n"/>
      <c r="B195" s="134" t="n"/>
      <c r="D195" s="2" t="n"/>
      <c r="G195" s="134" t="n"/>
      <c r="H195" s="63" t="n"/>
      <c r="I195" s="63" t="n"/>
      <c r="J195" s="63" t="n"/>
      <c r="K195" s="71" t="n"/>
    </row>
    <row r="196">
      <c r="A196" s="81" t="n"/>
      <c r="B196" s="134" t="n"/>
      <c r="D196" s="2" t="n"/>
      <c r="G196" s="134" t="n"/>
      <c r="H196" s="63" t="n"/>
      <c r="I196" s="63" t="n"/>
      <c r="J196" s="63" t="n"/>
      <c r="K196" s="71" t="n"/>
    </row>
    <row r="197">
      <c r="A197" s="81" t="n"/>
      <c r="B197" s="134" t="n"/>
      <c r="D197" s="2" t="n"/>
      <c r="G197" s="134" t="n"/>
      <c r="H197" s="63" t="n"/>
      <c r="I197" s="63" t="n"/>
      <c r="J197" s="63" t="n"/>
      <c r="K197" s="71" t="n"/>
    </row>
    <row r="198">
      <c r="A198" s="81" t="n"/>
      <c r="B198" s="134" t="n"/>
      <c r="D198" s="2" t="n"/>
      <c r="G198" s="134" t="n"/>
      <c r="H198" s="63" t="n"/>
      <c r="I198" s="63" t="n"/>
      <c r="J198" s="63" t="n"/>
      <c r="K198" s="71" t="n"/>
    </row>
    <row r="199">
      <c r="A199" s="81" t="n"/>
      <c r="B199" s="134" t="n"/>
      <c r="D199" s="2" t="n"/>
      <c r="G199" s="134" t="n"/>
      <c r="H199" s="63" t="n"/>
      <c r="I199" s="63" t="n"/>
      <c r="J199" s="63" t="n"/>
      <c r="K199" s="71" t="n"/>
    </row>
    <row r="200">
      <c r="A200" s="81" t="n"/>
      <c r="B200" s="134" t="n"/>
      <c r="D200" s="2" t="n"/>
      <c r="G200" s="134" t="n"/>
      <c r="H200" s="63" t="n"/>
      <c r="I200" s="63" t="n"/>
      <c r="J200" s="63" t="n"/>
      <c r="K200" s="71" t="n"/>
    </row>
    <row r="201">
      <c r="A201" s="81" t="n"/>
      <c r="B201" s="134" t="n"/>
      <c r="D201" s="2" t="n"/>
      <c r="G201" s="134" t="n"/>
      <c r="H201" s="63" t="n"/>
      <c r="I201" s="63" t="n"/>
      <c r="J201" s="63" t="n"/>
      <c r="K201" s="71" t="n"/>
    </row>
    <row r="202">
      <c r="A202" s="81" t="n"/>
      <c r="B202" s="134" t="n"/>
      <c r="D202" s="2" t="n"/>
      <c r="G202" s="134" t="n"/>
      <c r="H202" s="63" t="n"/>
      <c r="I202" s="63" t="n"/>
      <c r="J202" s="63" t="n"/>
      <c r="K202" s="71" t="n"/>
    </row>
    <row r="203">
      <c r="A203" s="81" t="n"/>
      <c r="B203" s="134" t="n"/>
      <c r="D203" s="2" t="n"/>
      <c r="G203" s="134" t="n"/>
      <c r="H203" s="63" t="n"/>
      <c r="I203" s="63" t="n"/>
      <c r="J203" s="63" t="n"/>
      <c r="K203" s="71" t="n"/>
    </row>
    <row r="204">
      <c r="A204" s="81" t="n"/>
      <c r="B204" s="134" t="n"/>
      <c r="D204" s="2" t="n"/>
      <c r="G204" s="134" t="n"/>
      <c r="H204" s="63" t="n"/>
      <c r="I204" s="63" t="n"/>
      <c r="J204" s="63" t="n"/>
      <c r="K204" s="71" t="n"/>
    </row>
    <row r="205">
      <c r="A205" s="81" t="n"/>
      <c r="B205" s="134" t="n"/>
      <c r="D205" s="2" t="n"/>
      <c r="G205" s="134" t="n"/>
      <c r="H205" s="63" t="n"/>
      <c r="I205" s="63" t="n"/>
      <c r="J205" s="63" t="n"/>
      <c r="K205" s="71" t="n"/>
    </row>
    <row r="206">
      <c r="A206" s="81" t="n"/>
      <c r="B206" s="134" t="n"/>
      <c r="D206" s="2" t="n"/>
      <c r="G206" s="134" t="n"/>
      <c r="H206" s="63" t="n"/>
      <c r="I206" s="63" t="n"/>
      <c r="J206" s="63" t="n"/>
      <c r="K206" s="71" t="n"/>
    </row>
    <row r="207">
      <c r="A207" s="81" t="n"/>
      <c r="B207" s="134" t="n"/>
      <c r="D207" s="2" t="n"/>
      <c r="G207" s="134" t="n"/>
      <c r="H207" s="63" t="n"/>
      <c r="I207" s="63" t="n"/>
      <c r="J207" s="63" t="n"/>
      <c r="K207" s="71" t="n"/>
    </row>
    <row r="208">
      <c r="A208" s="81" t="n"/>
      <c r="B208" s="134" t="n"/>
      <c r="D208" s="2" t="n"/>
      <c r="G208" s="134" t="n"/>
      <c r="H208" s="63" t="n"/>
      <c r="I208" s="63" t="n"/>
      <c r="J208" s="63" t="n"/>
      <c r="K208" s="71" t="n"/>
    </row>
    <row r="209">
      <c r="A209" s="81" t="n"/>
      <c r="B209" s="134" t="n"/>
      <c r="D209" s="2" t="n"/>
      <c r="G209" s="134" t="n"/>
      <c r="H209" s="63" t="n"/>
      <c r="I209" s="63" t="n"/>
      <c r="J209" s="63" t="n"/>
      <c r="K209" s="71" t="n"/>
    </row>
    <row r="210">
      <c r="A210" s="81" t="n"/>
      <c r="B210" s="134" t="n"/>
      <c r="D210" s="2" t="n"/>
      <c r="G210" s="134" t="n"/>
      <c r="H210" s="63" t="n"/>
      <c r="I210" s="63" t="n"/>
      <c r="J210" s="63" t="n"/>
      <c r="K210" s="71" t="n"/>
    </row>
    <row r="211">
      <c r="A211" s="81" t="n"/>
      <c r="B211" s="134" t="n"/>
      <c r="D211" s="2" t="n"/>
      <c r="G211" s="134" t="n"/>
      <c r="H211" s="63" t="n"/>
      <c r="I211" s="63" t="n"/>
      <c r="J211" s="63" t="n"/>
      <c r="K211" s="71" t="n"/>
    </row>
    <row r="212">
      <c r="A212" s="81" t="n"/>
      <c r="B212" s="134" t="n"/>
      <c r="D212" s="2" t="n"/>
      <c r="G212" s="134" t="n"/>
      <c r="H212" s="63" t="n"/>
      <c r="I212" s="63" t="n"/>
      <c r="J212" s="63" t="n"/>
      <c r="K212" s="71" t="n"/>
    </row>
    <row r="213">
      <c r="A213" s="81" t="n"/>
      <c r="B213" s="134" t="n"/>
      <c r="D213" s="2" t="n"/>
      <c r="G213" s="134" t="n"/>
      <c r="H213" s="63" t="n"/>
      <c r="I213" s="63" t="n"/>
      <c r="J213" s="63" t="n"/>
      <c r="K213" s="71" t="n"/>
    </row>
    <row r="214">
      <c r="A214" s="81" t="n"/>
      <c r="B214" s="134" t="n"/>
      <c r="D214" s="2" t="n"/>
      <c r="G214" s="134" t="n"/>
      <c r="H214" s="63" t="n"/>
      <c r="I214" s="63" t="n"/>
      <c r="J214" s="63" t="n"/>
      <c r="K214" s="71" t="n"/>
    </row>
    <row r="215">
      <c r="A215" s="81" t="n"/>
      <c r="B215" s="134" t="n"/>
      <c r="D215" s="2" t="n"/>
      <c r="G215" s="134" t="n"/>
      <c r="H215" s="63" t="n"/>
      <c r="I215" s="63" t="n"/>
      <c r="J215" s="63" t="n"/>
      <c r="K215" s="71" t="n"/>
    </row>
    <row r="216">
      <c r="A216" s="81" t="n"/>
      <c r="B216" s="134" t="n"/>
      <c r="D216" s="2" t="n"/>
      <c r="G216" s="134" t="n"/>
      <c r="H216" s="63" t="n"/>
      <c r="I216" s="63" t="n"/>
      <c r="J216" s="63" t="n"/>
      <c r="K216" s="71" t="n"/>
    </row>
    <row r="217">
      <c r="A217" s="81" t="n"/>
      <c r="B217" s="134" t="n"/>
      <c r="D217" s="2" t="n"/>
      <c r="G217" s="134" t="n"/>
      <c r="H217" s="63" t="n"/>
      <c r="I217" s="63" t="n"/>
      <c r="J217" s="63" t="n"/>
      <c r="K217" s="71" t="n"/>
    </row>
    <row r="218">
      <c r="A218" s="81" t="n"/>
      <c r="B218" s="134" t="n"/>
      <c r="D218" s="2" t="n"/>
      <c r="G218" s="134" t="n"/>
      <c r="H218" s="63" t="n"/>
      <c r="I218" s="63" t="n"/>
      <c r="J218" s="63" t="n"/>
      <c r="K218" s="71" t="n"/>
    </row>
    <row r="219">
      <c r="A219" s="81" t="n"/>
      <c r="B219" s="134" t="n"/>
      <c r="D219" s="2" t="n"/>
      <c r="G219" s="134" t="n"/>
      <c r="H219" s="63" t="n"/>
      <c r="I219" s="63" t="n"/>
      <c r="J219" s="63" t="n"/>
      <c r="K219" s="71" t="n"/>
    </row>
    <row r="220">
      <c r="A220" s="81" t="n"/>
      <c r="B220" s="63" t="n"/>
      <c r="D220" s="2" t="n"/>
      <c r="G220" s="134" t="n"/>
      <c r="H220" s="63" t="n"/>
      <c r="I220" s="63" t="n"/>
      <c r="J220" s="63" t="n"/>
      <c r="K220" s="71" t="n"/>
    </row>
    <row r="221">
      <c r="A221" s="81" t="n"/>
      <c r="B221" s="63" t="n"/>
      <c r="C221" t="n"/>
      <c r="D221" s="2" t="n"/>
      <c r="G221" s="134" t="n"/>
      <c r="H221" s="63" t="n"/>
      <c r="I221" s="63" t="n"/>
      <c r="J221" s="63" t="n"/>
      <c r="K221" s="71" t="n"/>
    </row>
    <row r="222">
      <c r="A222" s="81" t="n"/>
      <c r="B222" s="63" t="n"/>
      <c r="D222" s="2" t="n"/>
      <c r="G222" s="134" t="n"/>
      <c r="H222" s="63" t="n"/>
      <c r="I222" s="63" t="n"/>
      <c r="J222" s="63" t="n"/>
      <c r="K222" s="71" t="n"/>
    </row>
    <row r="223">
      <c r="A223" s="81" t="n"/>
      <c r="B223" s="63" t="n"/>
      <c r="D223" s="2" t="n"/>
      <c r="G223" s="134" t="n"/>
      <c r="H223" s="63" t="n"/>
      <c r="I223" s="63" t="n"/>
      <c r="J223" s="63" t="n"/>
      <c r="K223" s="71" t="n"/>
    </row>
    <row r="224">
      <c r="A224" s="81" t="n"/>
      <c r="B224" s="63" t="n"/>
      <c r="D224" s="2" t="n"/>
      <c r="G224" s="134" t="n"/>
      <c r="H224" s="63" t="n"/>
      <c r="I224" s="63" t="n"/>
      <c r="J224" s="63" t="n"/>
      <c r="K224" s="71" t="n"/>
    </row>
    <row r="225">
      <c r="A225" s="81" t="n"/>
      <c r="B225" s="63" t="n"/>
      <c r="D225" s="2" t="n"/>
      <c r="G225" s="134" t="n"/>
      <c r="H225" s="63" t="n"/>
      <c r="I225" s="63" t="n"/>
      <c r="J225" s="63" t="n"/>
      <c r="K225" s="71" t="n"/>
    </row>
    <row r="226">
      <c r="A226" s="81" t="n"/>
      <c r="B226" s="63" t="n"/>
      <c r="D226" s="2" t="n"/>
      <c r="G226" s="134" t="n"/>
      <c r="H226" s="63" t="n"/>
      <c r="I226" s="63" t="n"/>
      <c r="J226" s="63" t="n"/>
      <c r="K226" s="71" t="n"/>
    </row>
    <row r="227">
      <c r="A227" s="81" t="n"/>
      <c r="B227" s="63" t="n"/>
      <c r="D227" s="2" t="n"/>
      <c r="G227" s="134" t="n"/>
      <c r="H227" s="63" t="n"/>
      <c r="I227" s="63" t="n"/>
      <c r="J227" s="63" t="n"/>
      <c r="K227" s="71" t="n"/>
    </row>
    <row r="228">
      <c r="A228" s="81" t="n"/>
      <c r="B228" s="63" t="n"/>
      <c r="D228" s="2" t="n"/>
      <c r="G228" s="134" t="n"/>
      <c r="H228" s="63" t="n"/>
      <c r="I228" s="63" t="n"/>
      <c r="J228" s="63" t="n"/>
      <c r="K228" s="71" t="n"/>
    </row>
    <row r="229">
      <c r="A229" s="81" t="n"/>
      <c r="B229" s="63" t="n"/>
      <c r="D229" s="2" t="n"/>
      <c r="G229" s="134" t="n"/>
      <c r="H229" s="63" t="n"/>
      <c r="I229" s="63" t="n"/>
      <c r="J229" s="63" t="n"/>
      <c r="K229" s="71" t="n"/>
    </row>
    <row r="230">
      <c r="A230" s="81" t="n"/>
      <c r="B230" s="63" t="n"/>
      <c r="D230" s="2" t="n"/>
      <c r="G230" s="134" t="n"/>
      <c r="H230" s="63" t="n"/>
      <c r="I230" s="63" t="n"/>
      <c r="J230" s="63" t="n"/>
      <c r="K230" s="71" t="n"/>
    </row>
    <row r="231">
      <c r="A231" s="81" t="n"/>
      <c r="B231" s="63" t="n"/>
      <c r="D231" s="2" t="n"/>
      <c r="G231" s="134" t="n"/>
      <c r="H231" s="63" t="n"/>
      <c r="I231" s="63" t="n"/>
      <c r="J231" s="63" t="n"/>
      <c r="K231" s="71" t="n"/>
    </row>
    <row r="232">
      <c r="A232" s="81" t="n"/>
      <c r="B232" s="63" t="n"/>
      <c r="D232" s="2" t="n"/>
      <c r="G232" s="134" t="n"/>
      <c r="H232" s="63" t="n"/>
      <c r="I232" s="63" t="n"/>
      <c r="J232" s="63" t="n"/>
      <c r="K232" s="71" t="n"/>
    </row>
    <row r="233">
      <c r="A233" s="81" t="n"/>
      <c r="B233" s="63" t="n"/>
      <c r="D233" s="2" t="n"/>
      <c r="G233" s="134" t="n"/>
      <c r="H233" s="63" t="n"/>
      <c r="I233" s="63" t="n"/>
      <c r="J233" s="63" t="n"/>
      <c r="K233" s="71" t="n"/>
    </row>
    <row r="234">
      <c r="A234" s="81" t="n"/>
      <c r="B234" s="63" t="n"/>
      <c r="D234" s="2" t="n"/>
      <c r="G234" s="134" t="n"/>
      <c r="H234" s="63" t="n"/>
      <c r="I234" s="63" t="n"/>
      <c r="J234" s="63" t="n"/>
      <c r="K234" s="71" t="n"/>
    </row>
    <row r="235">
      <c r="A235" s="81" t="n"/>
      <c r="B235" s="63" t="n"/>
      <c r="D235" s="2" t="n"/>
      <c r="G235" s="134" t="n"/>
      <c r="H235" s="63" t="n"/>
      <c r="I235" s="63" t="n"/>
      <c r="J235" s="63" t="n"/>
      <c r="K235" s="71" t="n"/>
    </row>
    <row r="236">
      <c r="A236" s="81" t="n"/>
      <c r="B236" s="63" t="n"/>
      <c r="D236" s="2" t="n"/>
      <c r="G236" s="134" t="n"/>
      <c r="H236" s="63" t="n"/>
      <c r="I236" s="63" t="n"/>
      <c r="J236" s="63" t="n"/>
      <c r="K236" s="71" t="n"/>
    </row>
    <row r="237">
      <c r="A237" s="81" t="n"/>
      <c r="B237" s="63" t="n"/>
      <c r="D237" s="2" t="n"/>
      <c r="G237" s="134" t="n"/>
      <c r="H237" s="63" t="n"/>
      <c r="I237" s="63" t="n"/>
      <c r="J237" s="63" t="n"/>
      <c r="K237" s="71" t="n"/>
    </row>
    <row r="238">
      <c r="A238" s="81" t="n"/>
      <c r="B238" s="63" t="n"/>
      <c r="D238" s="2" t="n"/>
      <c r="G238" s="134" t="n"/>
      <c r="H238" s="63" t="n"/>
      <c r="I238" s="63" t="n"/>
      <c r="J238" s="63" t="n"/>
      <c r="K238" s="71" t="n"/>
    </row>
    <row r="239">
      <c r="A239" s="81" t="n"/>
      <c r="B239" s="63" t="n"/>
      <c r="D239" s="2" t="n"/>
      <c r="G239" s="134" t="n"/>
      <c r="H239" s="63" t="n"/>
      <c r="I239" s="63" t="n"/>
      <c r="J239" s="63" t="n"/>
      <c r="K239" s="71" t="n"/>
    </row>
    <row r="240">
      <c r="A240" s="81" t="n"/>
      <c r="B240" s="63" t="n"/>
      <c r="D240" s="2" t="n"/>
      <c r="G240" s="134" t="n"/>
      <c r="H240" s="63" t="n"/>
      <c r="I240" s="63" t="n"/>
      <c r="J240" s="63" t="n"/>
    </row>
    <row r="241">
      <c r="A241" s="81" t="n"/>
      <c r="B241" s="63" t="n"/>
      <c r="D241" s="2" t="n"/>
      <c r="G241" s="134" t="n"/>
      <c r="H241" s="63" t="n"/>
      <c r="I241" s="63" t="n"/>
      <c r="J241" s="63" t="n"/>
    </row>
    <row r="242">
      <c r="A242" s="81" t="n"/>
      <c r="B242" s="63" t="n"/>
      <c r="D242" s="2" t="n"/>
      <c r="G242" s="134" t="n"/>
      <c r="H242" s="63" t="n"/>
      <c r="I242" s="63" t="n"/>
      <c r="J242" s="63" t="n"/>
    </row>
  </sheetData>
  <sheetProtection selectLockedCells="1" selectUnlockedCells="0" algorithmName="SHA-512" sheet="1" objects="0" insertRows="1" insertHyperlinks="1" autoFilter="1" scenarios="0" formatColumns="1" deleteColumns="1" insertColumns="1" pivotTables="1" deleteRows="1" formatCells="1" saltValue="S1K7TWYSWCGQY9JLRCzDIg==" formatRows="1" sort="1" spinCount="100000" hashValue="C7vGq/yZLlA8lPsDfM9Z9A0oE7kg8J+I+ZvabfMbIkBoYUVNUJrhcHEZSj+BlQidG336Nq7ueCXRjXy2nF77qw=="/>
  <pageMargins left="0.787401575" right="0.787401575" top="0.984251969" bottom="0.984251969" header="0.4921259845" footer="0.4921259845"/>
  <pageSetup orientation="portrait" paperSize="9" horizontalDpi="1200" verticalDpi="1200"/>
  <legacyDrawing xmlns:r="http://schemas.openxmlformats.org/officeDocument/2006/relationships" r:id="anysvml"/>
</worksheet>
</file>

<file path=xl/worksheets/sheet4.xml><?xml version="1.0" encoding="utf-8"?>
<worksheet xmlns="http://schemas.openxmlformats.org/spreadsheetml/2006/main">
  <sheetPr codeName="Tabelle1">
    <outlinePr summaryBelow="1" summaryRight="1"/>
    <pageSetUpPr fitToPage="1"/>
  </sheetPr>
  <dimension ref="A1:O34"/>
  <sheetViews>
    <sheetView showGridLines="0" tabSelected="1" zoomScaleNormal="100" workbookViewId="0">
      <selection activeCell="L2" sqref="L2:L4"/>
    </sheetView>
  </sheetViews>
  <sheetFormatPr baseColWidth="10" defaultRowHeight="12.75"/>
  <cols>
    <col width="17.7109375" customWidth="1" style="25" min="1" max="1"/>
    <col width="1.85546875" customWidth="1" style="25" min="2" max="2"/>
    <col width="9.140625" customWidth="1" style="25" min="3" max="3"/>
    <col width="7.42578125" customWidth="1" style="25" min="4" max="5"/>
    <col width="8" customWidth="1" style="25" min="6" max="9"/>
    <col width="28.140625" customWidth="1" style="25" min="10" max="10"/>
    <col width="2.7109375" customWidth="1" style="25" min="11" max="11"/>
    <col width="14.42578125" customWidth="1" style="25" min="12" max="12"/>
    <col width="13" customWidth="1" style="25" min="13" max="14"/>
    <col width="11.42578125" customWidth="1" style="25" min="15" max="16384"/>
  </cols>
  <sheetData>
    <row r="1" ht="15" customHeight="1">
      <c r="I1" s="122" t="n"/>
      <c r="J1" s="135" t="n"/>
    </row>
    <row r="2" ht="12.75" customHeight="1">
      <c r="C2" s="124" t="inlineStr">
        <is>
          <t>EVANGELISCHE KIRCHE
IN HESSEN UND NASSAU</t>
        </is>
      </c>
      <c r="D2" s="135" t="n"/>
      <c r="E2" s="135" t="n"/>
      <c r="F2" s="135" t="n"/>
      <c r="H2" s="20" t="n"/>
      <c r="I2" s="135" t="n"/>
      <c r="J2" s="135" t="n"/>
      <c r="L2" s="136" t="inlineStr">
        <is>
          <t>6840</t>
        </is>
      </c>
      <c r="M2" s="118" t="inlineStr">
        <is>
          <t>Eingabe der Rechtsträger-Nr.
im rot hinterlegten Feld!</t>
        </is>
      </c>
      <c r="N2" s="135" t="n"/>
    </row>
    <row r="3" ht="12.75" customHeight="1">
      <c r="C3" s="135" t="n"/>
      <c r="D3" s="135" t="n"/>
      <c r="E3" s="135" t="n"/>
      <c r="F3" s="135" t="n"/>
      <c r="G3" s="20" t="n"/>
      <c r="H3" s="20" t="n"/>
      <c r="I3" s="20" t="n"/>
      <c r="J3" s="120">
        <f>IF($L$2="","",VLOOKUP($L$2,RT!$A:$G,5,FALSE))</f>
        <v/>
      </c>
      <c r="L3" s="137" t="n"/>
      <c r="M3" s="135" t="n"/>
      <c r="N3" s="135" t="n"/>
    </row>
    <row r="4" ht="12.75" customHeight="1">
      <c r="C4" s="135" t="n"/>
      <c r="D4" s="135" t="n"/>
      <c r="E4" s="135" t="n"/>
      <c r="F4" s="135" t="n"/>
      <c r="G4" s="20" t="n"/>
      <c r="H4" s="20" t="n"/>
      <c r="I4" s="20" t="n"/>
      <c r="J4" s="135" t="n"/>
      <c r="L4" s="137" t="n"/>
      <c r="M4" s="135" t="n"/>
      <c r="N4" s="135" t="n"/>
    </row>
    <row r="5" ht="21.75" customHeight="1">
      <c r="E5" s="60" t="n"/>
      <c r="F5" s="121">
        <f>IF($L$2="","",VLOOKUP($L$2,RT!$A:$G,2,FALSE))</f>
        <v/>
      </c>
      <c r="G5" s="135" t="n"/>
      <c r="H5" s="135" t="n"/>
      <c r="I5" s="135" t="n"/>
      <c r="J5" s="135" t="n"/>
    </row>
    <row r="6" ht="10.5" customFormat="1" customHeight="1" s="26">
      <c r="E6" s="27" t="n"/>
    </row>
    <row r="7" ht="30" customFormat="1" customHeight="1" s="28">
      <c r="C7" s="27" t="inlineStr">
        <is>
          <t>Buchungsblatt Kollekten/Spenden</t>
        </is>
      </c>
      <c r="D7" s="27" t="n"/>
    </row>
    <row r="8" ht="29.25" customFormat="1" customHeight="1" s="31">
      <c r="A8" s="29" t="n"/>
      <c r="B8" s="29" t="n"/>
      <c r="C8" s="42" t="inlineStr">
        <is>
          <t>für die eigene Gemeinde</t>
        </is>
      </c>
      <c r="D8" s="42" t="n"/>
      <c r="E8" s="42" t="n"/>
      <c r="F8" s="42" t="n"/>
      <c r="G8" s="42" t="n"/>
      <c r="H8" s="30" t="n"/>
      <c r="I8" s="30" t="n"/>
      <c r="J8" s="30" t="n"/>
    </row>
    <row r="9" ht="30" customFormat="1" customHeight="1" s="31">
      <c r="A9" s="32" t="n"/>
      <c r="B9" s="32" t="n"/>
      <c r="C9" s="119" t="n"/>
      <c r="D9" s="137" t="n"/>
      <c r="E9" s="137" t="n"/>
      <c r="F9" s="137" t="n"/>
      <c r="G9" s="137" t="n"/>
      <c r="H9" s="137" t="n"/>
      <c r="I9" s="137" t="n"/>
      <c r="J9" s="33" t="n"/>
    </row>
    <row r="10" ht="30" customFormat="1" customHeight="1" s="28">
      <c r="A10" s="34" t="n"/>
      <c r="B10" s="34" t="n"/>
      <c r="C10" s="108" t="inlineStr">
        <is>
          <t>Der Betrag ist von folgendem Konto einzuziehen:</t>
        </is>
      </c>
      <c r="D10" s="137" t="n"/>
      <c r="E10" s="137" t="n"/>
      <c r="F10" s="137" t="n"/>
      <c r="G10" s="137" t="n"/>
      <c r="H10" s="137" t="n"/>
      <c r="I10" s="137" t="n"/>
      <c r="J10" s="33" t="n"/>
      <c r="L10" s="94" t="inlineStr">
        <is>
          <t>← Dropdown-Auswahl ist möglich</t>
        </is>
      </c>
    </row>
    <row r="11" ht="30" customFormat="1" customHeight="1" s="28">
      <c r="A11" s="34" t="inlineStr">
        <is>
          <t>Bankname:</t>
        </is>
      </c>
      <c r="B11" s="75" t="inlineStr">
        <is>
          <t>Nassauische Sparkasse</t>
        </is>
      </c>
      <c r="C11" s="76" t="n"/>
      <c r="D11" s="87" t="n"/>
      <c r="E11" s="67" t="n"/>
      <c r="F11" s="67" t="n"/>
      <c r="G11" s="67" t="n"/>
      <c r="H11" s="67" t="n"/>
      <c r="I11" s="83" t="n"/>
    </row>
    <row r="12" ht="25.5" customFormat="1" customHeight="1" s="28">
      <c r="A12" s="35" t="inlineStr">
        <is>
          <t>IBAN:</t>
        </is>
      </c>
      <c r="B12" s="78" t="inlineStr">
        <is>
          <t>DE50 5105 0015 0656 2363 79</t>
        </is>
      </c>
      <c r="C12" s="95" t="n"/>
      <c r="D12" s="95" t="n"/>
      <c r="E12" s="95" t="n"/>
      <c r="F12" s="95" t="n"/>
      <c r="G12" s="95" t="n"/>
      <c r="H12" s="95" t="n"/>
      <c r="I12" s="138" t="n"/>
      <c r="J12" s="77" t="n"/>
      <c r="K12" s="102" t="n"/>
    </row>
    <row r="13" ht="4.5" customFormat="1" customHeight="1" s="28">
      <c r="A13" s="38" t="n"/>
      <c r="B13" s="75" t="n"/>
      <c r="C13" s="39" t="n"/>
      <c r="D13" s="39" t="n"/>
      <c r="E13" s="40" t="n"/>
      <c r="F13" s="40" t="n"/>
      <c r="G13" s="40" t="n"/>
      <c r="H13" s="40" t="n"/>
      <c r="I13" s="84" t="n"/>
      <c r="J13" s="36" t="n"/>
      <c r="K13" s="102" t="n"/>
    </row>
    <row r="14" ht="14.25" customFormat="1" customHeight="1" s="28">
      <c r="A14" s="34" t="n"/>
      <c r="B14" s="34" t="n"/>
      <c r="C14" s="41" t="n"/>
      <c r="D14" s="41" t="n"/>
      <c r="E14" s="41" t="n"/>
      <c r="F14" s="41" t="n"/>
      <c r="G14" s="41" t="n"/>
      <c r="H14" s="41" t="n"/>
      <c r="I14" s="41" t="n"/>
      <c r="J14" s="33" t="n"/>
    </row>
    <row r="15" ht="40.5" customFormat="1" customHeight="1" s="28">
      <c r="A15" s="42" t="inlineStr">
        <is>
          <t>Buchung (Splitbuchung)</t>
        </is>
      </c>
      <c r="B15" s="42" t="n"/>
      <c r="C15" s="43" t="n"/>
      <c r="D15" s="43" t="n"/>
      <c r="E15" s="43" t="n"/>
      <c r="F15" s="113">
        <f>IF(AND($L$2="",COUNT($A$17:$A$30)&gt;0),"Bitte tragen Sie Ihre Rechtsträgernummer im roten Feld ein!!","")</f>
        <v/>
      </c>
      <c r="G15" s="135" t="n"/>
      <c r="H15" s="135" t="n"/>
      <c r="I15" s="135" t="n"/>
      <c r="J15" s="135" t="n"/>
    </row>
    <row r="16" ht="25.5" customFormat="1" customHeight="1" s="45">
      <c r="A16" s="117" t="inlineStr">
        <is>
          <t>Betrag</t>
        </is>
      </c>
      <c r="B16" s="115" t="inlineStr">
        <is>
          <t>AObj.</t>
        </is>
      </c>
      <c r="C16" s="139" t="n"/>
      <c r="D16" s="117" t="inlineStr">
        <is>
          <t>Sachkonto</t>
        </is>
      </c>
      <c r="E16" s="140" t="n"/>
      <c r="F16" s="141" t="inlineStr">
        <is>
          <t>Kollekte vom</t>
        </is>
      </c>
      <c r="G16" s="140" t="n"/>
      <c r="H16" s="111" t="inlineStr">
        <is>
          <t>Verwendungszweck gem. Abkündigung</t>
        </is>
      </c>
      <c r="I16" s="139" t="n"/>
      <c r="J16" s="139" t="n"/>
      <c r="K16" s="28" t="n"/>
      <c r="N16" s="46" t="n"/>
    </row>
    <row r="17" ht="25.5" customFormat="1" customHeight="1" s="45">
      <c r="A17" s="152" t="n">
        <v>147.29</v>
      </c>
      <c r="B17" s="96" t="n"/>
      <c r="C17" s="143" t="n"/>
      <c r="D17" s="144" t="n"/>
      <c r="E17" s="145" t="n"/>
      <c r="F17" s="153" t="n">
        <v>46115</v>
      </c>
      <c r="G17" s="145" t="n"/>
      <c r="H17" s="147" t="inlineStr">
        <is>
          <t>Christl. Jüdische Verständigung</t>
        </is>
      </c>
      <c r="I17" s="143" t="n"/>
      <c r="J17" s="143" t="n"/>
      <c r="K17" s="28" t="n"/>
      <c r="L17" s="100">
        <f>IF(A31&lt;&gt;"","Bitte geben Sie im Verwendungszweck UNBEDINGT an, ob es sich um eine Spende oder eine Kollekte handelt.
Falls der Betrag für einen bestimmten Zweck verwendet werden soll, muss dies deutlich benannt werden!","")</f>
        <v/>
      </c>
      <c r="M17" s="135" t="n"/>
      <c r="N17" s="135" t="n"/>
      <c r="O17" s="135" t="n"/>
    </row>
    <row r="18" ht="25.5" customFormat="1" customHeight="1" s="45">
      <c r="A18" s="142" t="n"/>
      <c r="B18" s="96" t="n"/>
      <c r="C18" s="143" t="n"/>
      <c r="D18" s="144" t="n"/>
      <c r="E18" s="145" t="n"/>
      <c r="F18" s="146" t="n"/>
      <c r="G18" s="145" t="n"/>
      <c r="H18" s="147" t="n"/>
      <c r="I18" s="143" t="n"/>
      <c r="J18" s="143" t="n"/>
      <c r="K18" s="28" t="n"/>
      <c r="L18" s="135" t="n"/>
      <c r="M18" s="135" t="n"/>
      <c r="N18" s="135" t="n"/>
      <c r="O18" s="135" t="n"/>
    </row>
    <row r="19" ht="25.5" customFormat="1" customHeight="1" s="45">
      <c r="A19" s="142" t="n"/>
      <c r="B19" s="96" t="n"/>
      <c r="C19" s="143" t="n"/>
      <c r="D19" s="144" t="n"/>
      <c r="E19" s="145" t="n"/>
      <c r="F19" s="146" t="n"/>
      <c r="G19" s="145" t="n"/>
      <c r="H19" s="147" t="n"/>
      <c r="I19" s="143" t="n"/>
      <c r="J19" s="143" t="n"/>
      <c r="K19" s="28" t="n"/>
      <c r="L19" s="135" t="n"/>
      <c r="M19" s="135" t="n"/>
      <c r="N19" s="135" t="n"/>
      <c r="O19" s="135" t="n"/>
    </row>
    <row r="20" ht="25.5" customFormat="1" customHeight="1" s="45">
      <c r="A20" s="142" t="n"/>
      <c r="B20" s="96" t="n"/>
      <c r="C20" s="143" t="n"/>
      <c r="D20" s="144" t="n"/>
      <c r="E20" s="145" t="n"/>
      <c r="F20" s="146" t="n"/>
      <c r="G20" s="145" t="n"/>
      <c r="H20" s="147" t="n"/>
      <c r="I20" s="143" t="n"/>
      <c r="J20" s="143" t="n"/>
      <c r="K20" s="28" t="n"/>
      <c r="L20" s="135" t="n"/>
      <c r="M20" s="135" t="n"/>
      <c r="N20" s="135" t="n"/>
      <c r="O20" s="135" t="n"/>
    </row>
    <row r="21" ht="25.5" customFormat="1" customHeight="1" s="45">
      <c r="A21" s="142" t="n"/>
      <c r="B21" s="96" t="n"/>
      <c r="C21" s="143" t="n"/>
      <c r="D21" s="144" t="n"/>
      <c r="E21" s="145" t="n"/>
      <c r="F21" s="146" t="n"/>
      <c r="G21" s="145" t="n"/>
      <c r="H21" s="147" t="n"/>
      <c r="I21" s="143" t="n"/>
      <c r="J21" s="143" t="n"/>
      <c r="K21" s="28" t="n"/>
    </row>
    <row r="22" ht="25.5" customFormat="1" customHeight="1" s="45">
      <c r="A22" s="142" t="n"/>
      <c r="B22" s="96" t="n"/>
      <c r="C22" s="143" t="n"/>
      <c r="D22" s="144" t="n"/>
      <c r="E22" s="145" t="n"/>
      <c r="F22" s="146" t="n"/>
      <c r="G22" s="145" t="n"/>
      <c r="H22" s="147" t="n"/>
      <c r="I22" s="143" t="n"/>
      <c r="J22" s="143" t="n"/>
    </row>
    <row r="23" ht="25.5" customFormat="1" customHeight="1" s="45">
      <c r="A23" s="142" t="n"/>
      <c r="B23" s="96" t="n"/>
      <c r="C23" s="143" t="n"/>
      <c r="D23" s="144" t="n"/>
      <c r="E23" s="145" t="n"/>
      <c r="F23" s="146" t="n"/>
      <c r="G23" s="145" t="n"/>
      <c r="H23" s="147" t="n"/>
      <c r="I23" s="143" t="n"/>
      <c r="J23" s="143" t="n"/>
    </row>
    <row r="24" ht="25.5" customFormat="1" customHeight="1" s="45">
      <c r="A24" s="142" t="n"/>
      <c r="B24" s="96" t="n"/>
      <c r="C24" s="143" t="n"/>
      <c r="D24" s="144" t="n"/>
      <c r="E24" s="145" t="n"/>
      <c r="F24" s="146" t="n"/>
      <c r="G24" s="145" t="n"/>
      <c r="H24" s="147" t="n"/>
      <c r="I24" s="143" t="n"/>
      <c r="J24" s="143" t="n"/>
    </row>
    <row r="25" ht="25.5" customFormat="1" customHeight="1" s="45">
      <c r="A25" s="142" t="n"/>
      <c r="B25" s="96" t="n"/>
      <c r="C25" s="143" t="n"/>
      <c r="D25" s="144" t="n"/>
      <c r="E25" s="145" t="n"/>
      <c r="F25" s="146" t="n"/>
      <c r="G25" s="145" t="n"/>
      <c r="H25" s="147" t="n"/>
      <c r="I25" s="143" t="n"/>
      <c r="J25" s="143" t="n"/>
    </row>
    <row r="26" ht="25.5" customFormat="1" customHeight="1" s="45">
      <c r="A26" s="142" t="n"/>
      <c r="B26" s="96" t="n"/>
      <c r="C26" s="143" t="n"/>
      <c r="D26" s="144" t="n"/>
      <c r="E26" s="145" t="n"/>
      <c r="F26" s="146" t="n"/>
      <c r="G26" s="145" t="n"/>
      <c r="H26" s="147" t="n"/>
      <c r="I26" s="143" t="n"/>
      <c r="J26" s="143" t="n"/>
    </row>
    <row r="27" ht="25.5" customFormat="1" customHeight="1" s="45">
      <c r="A27" s="142" t="n"/>
      <c r="B27" s="96" t="n"/>
      <c r="C27" s="143" t="n"/>
      <c r="D27" s="144" t="n"/>
      <c r="E27" s="145" t="n"/>
      <c r="F27" s="146" t="n"/>
      <c r="G27" s="145" t="n"/>
      <c r="H27" s="147" t="n"/>
      <c r="I27" s="143" t="n"/>
      <c r="J27" s="143" t="n"/>
    </row>
    <row r="28" ht="25.5" customFormat="1" customHeight="1" s="45">
      <c r="A28" s="142" t="n"/>
      <c r="B28" s="96" t="n"/>
      <c r="C28" s="143" t="n"/>
      <c r="D28" s="144" t="n"/>
      <c r="E28" s="145" t="n"/>
      <c r="F28" s="146" t="n"/>
      <c r="G28" s="145" t="n"/>
      <c r="H28" s="147" t="n"/>
      <c r="I28" s="143" t="n"/>
      <c r="J28" s="143" t="n"/>
    </row>
    <row r="29" ht="25.5" customFormat="1" customHeight="1" s="45">
      <c r="A29" s="142" t="n"/>
      <c r="B29" s="96" t="n"/>
      <c r="C29" s="143" t="n"/>
      <c r="D29" s="144" t="n"/>
      <c r="E29" s="145" t="n"/>
      <c r="F29" s="146" t="n"/>
      <c r="G29" s="145" t="n"/>
      <c r="H29" s="147" t="n"/>
      <c r="I29" s="143" t="n"/>
      <c r="J29" s="143" t="n"/>
    </row>
    <row r="30" ht="25.5" customFormat="1" customHeight="1" s="45">
      <c r="A30" s="142" t="n"/>
      <c r="B30" s="96" t="n"/>
      <c r="C30" s="143" t="n"/>
      <c r="D30" s="144" t="n"/>
      <c r="E30" s="145" t="n"/>
      <c r="F30" s="146" t="n"/>
      <c r="G30" s="145" t="n"/>
      <c r="H30" s="147" t="n"/>
      <c r="I30" s="143" t="n"/>
      <c r="J30" s="143" t="n"/>
    </row>
    <row r="31" ht="20.25" customFormat="1" customHeight="1" s="45">
      <c r="A31" s="148">
        <f>IF(SUM(A17:A30)&lt;&gt;0,SUM(A17:A30),"")</f>
        <v/>
      </c>
      <c r="B31" s="149" t="n"/>
      <c r="C31" s="150">
        <f>IF(A31&lt;&gt;"","Gesamtbetrag","")</f>
        <v/>
      </c>
      <c r="D31" s="151" t="n"/>
      <c r="E31" s="151" t="n"/>
      <c r="F31" s="23" t="n"/>
      <c r="G31" s="23" t="n"/>
      <c r="H31" s="24" t="n"/>
      <c r="I31" s="24" t="n"/>
      <c r="J31" s="24" t="n"/>
    </row>
    <row r="32" ht="20.25" customFormat="1" customHeight="1" s="45">
      <c r="A32" s="149" t="n"/>
      <c r="B32" s="149" t="n"/>
      <c r="C32" s="57" t="n"/>
      <c r="D32" s="57" t="n"/>
      <c r="E32" s="57" t="n"/>
      <c r="F32" s="36" t="n"/>
      <c r="G32" s="36" t="n"/>
      <c r="H32" s="58" t="n"/>
      <c r="I32" s="58" t="n"/>
      <c r="J32" s="58" t="n"/>
    </row>
    <row r="33" ht="37.5" customFormat="1" customHeight="1" s="28">
      <c r="A33" s="47" t="n"/>
      <c r="C33" s="102" t="n"/>
      <c r="D33" s="135" t="n"/>
      <c r="E33" s="135" t="n"/>
      <c r="G33" s="103" t="n"/>
      <c r="H33" s="139" t="n"/>
      <c r="I33" s="139" t="n"/>
      <c r="J33" s="139" t="n"/>
    </row>
    <row r="34" ht="17.25" customFormat="1" customHeight="1" s="28">
      <c r="A34" s="48" t="inlineStr">
        <is>
          <t>- Datum /geprüft -</t>
        </is>
      </c>
      <c r="B34" s="48" t="n"/>
      <c r="C34" s="102" t="n"/>
      <c r="D34" s="135" t="n"/>
      <c r="E34" s="135" t="n"/>
      <c r="F34" s="135" t="n"/>
      <c r="G34" s="104" t="inlineStr">
        <is>
          <t>- Datum / angeordnet -</t>
        </is>
      </c>
      <c r="H34" s="135" t="n"/>
      <c r="I34" s="135" t="n"/>
      <c r="J34" s="135" t="n"/>
    </row>
  </sheetData>
  <sheetProtection selectLockedCells="1" selectUnlockedCells="0" algorithmName="SHA-512" sheet="1" objects="1" insertRows="1" insertHyperlinks="1" autoFilter="1" scenarios="1" formatColumns="1" deleteColumns="1" insertColumns="1" pivotTables="1" deleteRows="1" formatCells="1" saltValue="5WXjTHZCFQonZv3PX4l2rw==" formatRows="1" sort="1" spinCount="100000" hashValue="q9gvGA+vU+l59SUw2uKvGYsuzMhB2a+dp4IZhBNsG9xpU7iWqnLv0Dg7fAaaejwSRB+ihoVjjB4QTeVjUhHTsg=="/>
  <mergeCells count="75">
    <mergeCell ref="D20:E20"/>
    <mergeCell ref="B16:C16"/>
    <mergeCell ref="F29:G29"/>
    <mergeCell ref="F16:G16"/>
    <mergeCell ref="D19:E19"/>
    <mergeCell ref="C31:E31"/>
    <mergeCell ref="B25:C25"/>
    <mergeCell ref="F19:G19"/>
    <mergeCell ref="F25:G25"/>
    <mergeCell ref="C2:F4"/>
    <mergeCell ref="B22:C22"/>
    <mergeCell ref="D22:E22"/>
    <mergeCell ref="B27:C27"/>
    <mergeCell ref="H17:J17"/>
    <mergeCell ref="B18:C18"/>
    <mergeCell ref="D21:E21"/>
    <mergeCell ref="H16:J16"/>
    <mergeCell ref="F21:G21"/>
    <mergeCell ref="B21:C21"/>
    <mergeCell ref="F30:G30"/>
    <mergeCell ref="F15:J15"/>
    <mergeCell ref="F24:G24"/>
    <mergeCell ref="M2:N4"/>
    <mergeCell ref="H28:J28"/>
    <mergeCell ref="H22:J22"/>
    <mergeCell ref="H19:J19"/>
    <mergeCell ref="D27:E27"/>
    <mergeCell ref="C34:F34"/>
    <mergeCell ref="H27:J27"/>
    <mergeCell ref="F18:G18"/>
    <mergeCell ref="F5:J5"/>
    <mergeCell ref="I1:J2"/>
    <mergeCell ref="L2:L4"/>
    <mergeCell ref="B23:C23"/>
    <mergeCell ref="F20:G20"/>
    <mergeCell ref="B17:C17"/>
    <mergeCell ref="F26:G26"/>
    <mergeCell ref="D17:E17"/>
    <mergeCell ref="F17:G17"/>
    <mergeCell ref="D16:E16"/>
    <mergeCell ref="H24:J24"/>
    <mergeCell ref="B29:C29"/>
    <mergeCell ref="H18:J18"/>
    <mergeCell ref="B19:C19"/>
    <mergeCell ref="G33:J33"/>
    <mergeCell ref="H23:J23"/>
    <mergeCell ref="F23:G23"/>
    <mergeCell ref="H30:J30"/>
    <mergeCell ref="B28:C28"/>
    <mergeCell ref="D28:E28"/>
    <mergeCell ref="J3:J4"/>
    <mergeCell ref="F28:G28"/>
    <mergeCell ref="C10:I10"/>
    <mergeCell ref="F22:G22"/>
    <mergeCell ref="D18:E18"/>
    <mergeCell ref="H26:J26"/>
    <mergeCell ref="F27:G27"/>
    <mergeCell ref="H29:J29"/>
    <mergeCell ref="H20:J20"/>
    <mergeCell ref="D25:E25"/>
    <mergeCell ref="B24:C24"/>
    <mergeCell ref="C33:E33"/>
    <mergeCell ref="B30:C30"/>
    <mergeCell ref="C9:I9"/>
    <mergeCell ref="D30:E30"/>
    <mergeCell ref="D24:E24"/>
    <mergeCell ref="D29:E29"/>
    <mergeCell ref="B20:C20"/>
    <mergeCell ref="G34:J34"/>
    <mergeCell ref="D23:E23"/>
    <mergeCell ref="L17:O20"/>
    <mergeCell ref="B26:C26"/>
    <mergeCell ref="D26:E26"/>
    <mergeCell ref="H25:J25"/>
    <mergeCell ref="H21:J21"/>
  </mergeCells>
  <conditionalFormatting sqref="C11:I11">
    <cfRule type="expression" priority="6" dxfId="2">
      <formula>AND(OR($B$11&lt;&gt;"",$L$11&lt;&gt;""))</formula>
    </cfRule>
  </conditionalFormatting>
  <conditionalFormatting sqref="C13:I13">
    <cfRule type="expression" priority="5" dxfId="2">
      <formula>AND(OR($B$12&lt;&gt;"",$L$12&lt;&gt;""))</formula>
    </cfRule>
  </conditionalFormatting>
  <conditionalFormatting sqref="F15:J15">
    <cfRule type="expression" priority="4" dxfId="1">
      <formula>IF(AND($L$2="",COUNT($A$17:$A$30)&gt;0),TRUE,FALSE)</formula>
    </cfRule>
  </conditionalFormatting>
  <conditionalFormatting sqref="L17:O20">
    <cfRule type="expression" priority="1" dxfId="0">
      <formula>IF($A$31&lt;&gt;"",TRUE,FALSE)</formula>
    </cfRule>
  </conditionalFormatting>
  <dataValidations count="2">
    <dataValidation sqref="C12:G12" showDropDown="0" showInputMessage="1" showErrorMessage="1" allowBlank="1" errorTitle="Hinweis" error="Die Textlänge ist auf 4 Ziffern begrenzt, bitte korrigieren Sie Ihre Eingabe." type="textLength" operator="equal">
      <formula1>4</formula1>
    </dataValidation>
    <dataValidation sqref="H12" showDropDown="0" showInputMessage="1" showErrorMessage="1" allowBlank="1" errorTitle="Hinweis" error="Die Textlänge ist auf 4 Ziffern begrenzt, bitte korrigieren Sie Ihre Eingabe." type="textLength" operator="equal">
      <formula1>2</formula1>
    </dataValidation>
  </dataValidations>
  <pageMargins left="0.5905511811023623" right="0.2755905511811024" top="0.3543307086614174" bottom="0.3937007874015748" header="0.1968503937007874" footer="0.1574803149606299"/>
  <pageSetup orientation="portrait" paperSize="9" scale="92" blackAndWhite="1"/>
  <headerFooter>
    <oddHeader/>
    <oddFooter>&amp;L&amp;"Calibri,Standard"&amp;9 &amp;K01+041Belegdatum: &amp;D&amp;R&amp;"Calibri,Standard"&amp;9 &amp;K01+041Version V3.0-PNC - September 2025</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Silvia Heidi Stafast</dc:creator>
  <dcterms:created xsi:type="dcterms:W3CDTF">2014-07-15T14:55:50Z</dcterms:created>
  <dcterms:modified xsi:type="dcterms:W3CDTF">2026-04-14T17:27:53Z</dcterms:modified>
  <cp:lastModifiedBy>silvia</cp:lastModifiedBy>
  <cp:lastPrinted>2025-09-10T14:25:16Z</cp:lastPrinted>
</cp:coreProperties>
</file>

<file path=docProps/custom.xml><?xml version="1.0" encoding="utf-8"?>
<Properties xmlns:vt="http://schemas.openxmlformats.org/officeDocument/2006/docPropsVTypes" xmlns="http://schemas.openxmlformats.org/officeDocument/2006/custom-properties">
  <property name="TBCO_ScreenResolution" fmtid="{D5CDD505-2E9C-101B-9397-08002B2CF9AE}" pid="2">
    <vt:lpwstr>96 96 1680 1050</vt:lpwstr>
  </property>
</Properties>
</file>